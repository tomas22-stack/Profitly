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🧭 Menú" sheetId="1" state="visible" r:id="rId1"/>
    <sheet name="🏠 Inicio" sheetId="2" state="visible" r:id="rId2"/>
    <sheet name="⚙️ Configuración" sheetId="3" state="visible" r:id="rId3"/>
    <sheet name="📦 Productos" sheetId="4" state="visible" r:id="rId4"/>
    <sheet name="🛒 Ventas" sheetId="5" state="visible" r:id="rId5"/>
    <sheet name="💸 Gastos" sheetId="6" state="visible" r:id="rId6"/>
    <sheet name="🎯 Objetivos" sheetId="7" state="visible" r:id="rId7"/>
    <sheet name="🔬 Simulador" sheetId="8" state="visible" r:id="rId8"/>
    <sheet name="🎬 Demo" sheetId="9" state="visible" r:id="rId9"/>
    <sheet name="_Config" sheetId="10" state="hidden" r:id="rId10"/>
    <sheet name="_Listas" sheetId="11" state="hidden" r:id="rId11"/>
    <sheet name="_GastosCalc" sheetId="12" state="hidden" r:id="rId12"/>
    <sheet name="_DashboardData" sheetId="13" state="hidden" r:id="rId13"/>
    <sheet name="_Objetivos_Calc" sheetId="14" state="hidden" r:id="rId14"/>
    <sheet name="_Insights_Rules" sheetId="15" state="hidden" r:id="rId15"/>
    <sheet name="_Insights_Engine" sheetId="16" state="hidden" r:id="rId16"/>
    <sheet name="_Simulador_Engine" sheetId="17" state="hidden" r:id="rId17"/>
    <sheet name="_Demo_Datos" sheetId="18" state="hidden" r:id="rId18"/>
    <sheet name="_Textos" sheetId="19" state="hidden" r:id="rId19"/>
  </sheets>
  <definedNames>
    <definedName name="Txt_SinDatos">_Textos!$B$2</definedName>
    <definedName name="Txt_SinVentas">_Textos!$B$3</definedName>
    <definedName name="Txt_SinProductos">_Textos!$B$4</definedName>
    <definedName name="Txt_ProductoNoEncontrado">_Textos!$B$5</definedName>
    <definedName name="Txt_ObjetivoInvalido">_Textos!$B$6</definedName>
    <definedName name="Txt_ObjetivoAlcanzado">_Textos!$B$7</definedName>
    <definedName name="Txt_FaltaHistorial">_Textos!$B$8</definedName>
    <definedName name="Txt_NombreDuplicado">_Textos!$B$9</definedName>
    <definedName name="Txt_SinAlertas">_Textos!$B$10</definedName>
    <definedName name="Txt_UltimoDia">_Textos!$B$11</definedName>
    <definedName name="Cfg_NombreNegocio">'⚙️ Configuración'!$C$11</definedName>
    <definedName name="Cfg_TipoNegocio">'⚙️ Configuración'!$C$12</definedName>
    <definedName name="Cfg_Moneda">'⚙️ Configuración'!$C$13</definedName>
    <definedName name="Cfg_ObjetivoMensualDefault">'⚙️ Configuración'!$C$24</definedName>
    <definedName name="Cfg_PeriodoInicio">_Config!$B$6</definedName>
    <definedName name="Cfg_PeriodoFin">_Config!$B$7</definedName>
    <definedName name="Cfg_MargenAlertaUmbral">_Config!$B$8</definedName>
    <definedName name="Cfg_PeriodoInicio_Ant">_Config!$B$10</definedName>
    <definedName name="Cfg_PeriodoFin_Ant">_Config!$B$11</definedName>
    <definedName name="Lst_Categorias">_Listas!$A$2:$A$8</definedName>
    <definedName name="Lst_Canales">_Listas!$B$2:$B$6</definedName>
    <definedName name="Lst_CategoriasGasto">_Listas!$C$2:$C$7</definedName>
    <definedName name="Lst_TiposGasto">_Listas!$D$2:$D$4</definedName>
    <definedName name="Lst_Monedas">_Listas!$E$2:$E$6</definedName>
    <definedName name="Lst_PeriodosRapidos">_Listas!$F$2:$F$5</definedName>
    <definedName name="GastosCalc_PeriodoActual">_GastosCalc!$B$2</definedName>
    <definedName name="GastosCalc_PeriodoAnterior">_GastosCalc!$B$3</definedName>
    <definedName name="KPI_VentasPeriodo">_DashboardData!$B$2</definedName>
    <definedName name="KPI_VentasPeriodo_Ant">_DashboardData!$C$2</definedName>
    <definedName name="KPI_CostosVentaPeriodo">_DashboardData!$B$3</definedName>
    <definedName name="KPI_CostosVentaPeriodo_Ant">_DashboardData!$C$3</definedName>
    <definedName name="KPI_GananciaProductos">_DashboardData!$B$4</definedName>
    <definedName name="KPI_GananciaProductos_Ant">_DashboardData!$C$4</definedName>
    <definedName name="KPI_GastosPeriodo">_DashboardData!$B$5</definedName>
    <definedName name="KPI_GastosPeriodo_Ant">_DashboardData!$C$5</definedName>
    <definedName name="KPI_GananciaReal">_DashboardData!$B$6</definedName>
    <definedName name="KPI_GananciaReal_Ant">_DashboardData!$C$6</definedName>
    <definedName name="KPI_MargenReal">_DashboardData!$B$7</definedName>
    <definedName name="KPI_MargenReal_Ant">_DashboardData!$C$7</definedName>
    <definedName name="KPI_CantidadVentas">_DashboardData!$B$8</definedName>
    <definedName name="KPI_CantidadVentas_Ant">_DashboardData!$C$8</definedName>
    <definedName name="KPI_TicketPromedio">_DashboardData!$B$9</definedName>
    <definedName name="KPI_TicketPromedio_Ant">_DashboardData!$C$9</definedName>
    <definedName name="KPI_VentasPeriodo_Delta">_DashboardData!$B$13</definedName>
    <definedName name="KPI_GananciaReal_Delta">_DashboardData!$B$14</definedName>
    <definedName name="KPI_MargenReal_Delta">_DashboardData!$B$15</definedName>
    <definedName name="KPI_GastosPeriodo_Delta">_DashboardData!$B$16</definedName>
    <definedName name="KPI_TicketPromedio_Delta">_DashboardData!$B$17</definedName>
    <definedName name="Dash_DiasHistorial">_DashboardData!$B$20</definedName>
    <definedName name="Dash_Granularidad">_DashboardData!$B$21</definedName>
    <definedName name="Dash_TrendRange">_DashboardData!$A$22:$C$28</definedName>
    <definedName name="Dash_ProductoRange">_DashboardData!$A$32:$B$41</definedName>
    <definedName name="Obj_GananciaObjetivo">_Objetivos_Calc!$B$2</definedName>
    <definedName name="Obj_GananciaActual">_Objetivos_Calc!$B$3</definedName>
    <definedName name="Obj_Restante">_Objetivos_Calc!$B$4</definedName>
    <definedName name="Obj_ProgresoPct">_Objetivos_Calc!$B$5</definedName>
    <definedName name="Obj_DiasRestantes">_Objetivos_Calc!$B$6</definedName>
    <definedName name="Obj_GananciaDiariaNecesaria">_Objetivos_Calc!$B$7</definedName>
    <definedName name="Obj_FacturacionNecesaria">_Objetivos_Calc!$B$8</definedName>
    <definedName name="Obj_VentasNecesarias">_Objetivos_Calc!$B$9</definedName>
    <definedName name="Obj_HistorialDiario">_Objetivos_Calc!$B$21:$B$110</definedName>
    <definedName name="Obj_GananciaDiariaMaximaHistorica">_Objetivos_Calc!$B$112</definedName>
    <definedName name="Obj_DiasDesdePrimeraVenta">_Objetivos_Calc!$B$113</definedName>
    <definedName name="Obj_Factibilidad">_Objetivos_Calc!$B$114</definedName>
    <definedName name="Ins_Delta">_Insights_Engine!$B$2</definedName>
    <definedName name="Ins_Producto">_Insights_Engine!$B$3</definedName>
    <definedName name="Ins_ValorVentasDelta">_Insights_Engine!$B$4</definedName>
    <definedName name="Ins_VentasDelta">_Insights_Engine!$B$5</definedName>
    <definedName name="Ins_ValorGananciaDelta">_Insights_Engine!$B$6</definedName>
    <definedName name="Ins_GananciaDelta">_Insights_Engine!$B$7</definedName>
    <definedName name="Ins_Restante">_Insights_Engine!$B$8</definedName>
    <definedName name="Ins_R0Activa">_Insights_Engine!$B$18</definedName>
    <definedName name="Ins_Texto1">_Insights_Engine!$B$20</definedName>
    <definedName name="Ins_Texto2">_Insights_Engine!$B$21</definedName>
    <definedName name="Ins_Texto3">_Insights_Engine!$B$22</definedName>
    <definedName name="Ins_Texto4">_Insights_Engine!$B$23</definedName>
    <definedName name="Sim_DatosSuficientes">_Simulador_Engine!$B$2</definedName>
    <definedName name="Sim_Base_Ventas">_Simulador_Engine!$B$4</definedName>
    <definedName name="Sim_Base_CostosVenta">_Simulador_Engine!$B$5</definedName>
    <definedName name="Sim_Base_GananciaProductos">_Simulador_Engine!$B$6</definedName>
    <definedName name="Sim_Base_Gastos">_Simulador_Engine!$B$7</definedName>
    <definedName name="Sim_Base_GananciaReal">_Simulador_Engine!$B$8</definedName>
    <definedName name="Sim_Base_Margen">_Simulador_Engine!$B$9</definedName>
    <definedName name="Sim_Base_CantidadVentas">_Simulador_Engine!$B$10</definedName>
    <definedName name="Sim_A_VentasProyectadas">_Simulador_Engine!$B$14</definedName>
    <definedName name="Sim_A_CostosVentaProyectados">_Simulador_Engine!$B$15</definedName>
    <definedName name="Sim_A_MargenPorPrecio">_Simulador_Engine!$B$16</definedName>
    <definedName name="Sim_A_MargenProyectado">_Simulador_Engine!$B$17</definedName>
    <definedName name="Sim_A_GananciaProductosProyectada">_Simulador_Engine!$B$18</definedName>
    <definedName name="Sim_A_GastosProyectados">_Simulador_Engine!$B$19</definedName>
    <definedName name="Sim_A_GastosAjustados">_Simulador_Engine!$B$20</definedName>
    <definedName name="Sim_A_GananciaRealProyectada">_Simulador_Engine!$B$21</definedName>
    <definedName name="Sim_A_Diferencia">_Simulador_Engine!$B$22</definedName>
    <definedName name="Sim_B_VentasProyectadas">_Simulador_Engine!$B$25</definedName>
    <definedName name="Sim_B_CostosVentaProyectados">_Simulador_Engine!$B$26</definedName>
    <definedName name="Sim_B_MargenPorPrecio">_Simulador_Engine!$B$27</definedName>
    <definedName name="Sim_B_MargenProyectado">_Simulador_Engine!$B$28</definedName>
    <definedName name="Sim_B_GananciaProductosProyectada">_Simulador_Engine!$B$29</definedName>
    <definedName name="Sim_B_GastosProyectados">_Simulador_Engine!$B$30</definedName>
    <definedName name="Sim_B_GastosAjustados">_Simulador_Engine!$B$31</definedName>
    <definedName name="Sim_B_GananciaRealProyectada">_Simulador_Engine!$B$32</definedName>
    <definedName name="Sim_B_Diferencia">_Simulador_Engine!$B$33</definedName>
    <definedName name="Sim_C_VentasProyectadas">_Simulador_Engine!$B$36</definedName>
    <definedName name="Sim_C_CostosVentaProyectados">_Simulador_Engine!$B$37</definedName>
    <definedName name="Sim_C_MargenPorPrecio">_Simulador_Engine!$B$38</definedName>
    <definedName name="Sim_C_MargenProyectado">_Simulador_Engine!$B$39</definedName>
    <definedName name="Sim_C_GananciaProductosProyectada">_Simulador_Engine!$B$40</definedName>
    <definedName name="Sim_C_GastosProyectados">_Simulador_Engine!$B$41</definedName>
    <definedName name="Sim_C_GastosAjustados">_Simulador_Engine!$B$42</definedName>
    <definedName name="Sim_C_GananciaRealProyectada">_Simulador_Engine!$B$43</definedName>
    <definedName name="Sim_C_Diferencia">_Simulador_Engine!$B$44</definedName>
    <definedName name="Sim_A_DeltaPrecio">'🔬 Simulador'!$D$16</definedName>
    <definedName name="Sim_A_DeltaVentas">'🔬 Simulador'!$D$17</definedName>
    <definedName name="Sim_A_DeltaMargen">'🔬 Simulador'!$D$18</definedName>
    <definedName name="Sim_A_DeltaGastos">'🔬 Simulador'!$D$19</definedName>
    <definedName name="Sim_A_DeltaPublicidad">'🔬 Simulador'!$D$20</definedName>
    <definedName name="Sim_B_DeltaPrecio">'🔬 Simulador'!$H$16</definedName>
    <definedName name="Sim_B_DeltaVentas">'🔬 Simulador'!$H$17</definedName>
    <definedName name="Sim_B_DeltaMargen">'🔬 Simulador'!$H$18</definedName>
    <definedName name="Sim_B_DeltaGastos">'🔬 Simulador'!$H$19</definedName>
    <definedName name="Sim_B_DeltaPublicidad">'🔬 Simulador'!$H$20</definedName>
    <definedName name="Sim_C_DeltaPrecio">'🔬 Simulador'!$L$16</definedName>
    <definedName name="Sim_C_DeltaVentas">'🔬 Simulador'!$L$17</definedName>
    <definedName name="Sim_C_DeltaMargen">'🔬 Simulador'!$L$18</definedName>
    <definedName name="Sim_C_DeltaGastos">'🔬 Simulador'!$L$19</definedName>
    <definedName name="Sim_C_DeltaPublicidad">'🔬 Simulador'!$L$20</definedName>
    <definedName name="Demo_ProductosRange">_Demo_Datos!$B$3:$B$10</definedName>
    <definedName name="Demo_VentasRange">_Demo_Datos!$B$22:$B$132</definedName>
    <definedName name="Demo_GastosRange">_Demo_Datos!$Q$4:$Q$14</definedName>
    <definedName name="DemoKPI_VentasPeriodo">_Demo_Datos!$B$301</definedName>
    <definedName name="DemoKPI_CostosVentaPeriodo">_Demo_Datos!$B$302</definedName>
    <definedName name="DemoKPI_GananciaProductos">_Demo_Datos!$B$303</definedName>
    <definedName name="DemoKPI_GastosPeriodo">_Demo_Datos!$B$304</definedName>
    <definedName name="DemoKPI_GananciaReal">_Demo_Datos!$B$305</definedName>
    <definedName name="DemoKPI_MargenReal">_Demo_Datos!$B$306</definedName>
    <definedName name="DemoKPI_CantidadVentas">_Demo_Datos!$B$307</definedName>
    <definedName name="DemoKPI_TicketPromedio">_Demo_Datos!$B$308</definedName>
    <definedName name="DemoKPI_Objetivo">_Demo_Datos!$B$309</definedName>
    <definedName name="DemoKPI_ProgresoPct">_Demo_Datos!$B$310</definedName>
    <definedName name="Demo_ProductoRankRange">_Demo_Datos!$A$116:$B$123</definedName>
    <definedName name="Demo_TrendRange">_Demo_Datos!$A$127:$C$132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-0.0%;&quot;-&quot;"/>
    <numFmt numFmtId="165" formatCode="$#,##0;[RED]-$#,##0;&quot;-&quot;"/>
    <numFmt numFmtId="166" formatCode="DD/MM/YYYY"/>
    <numFmt numFmtId="167" formatCode="MMMM YYYY"/>
    <numFmt numFmtId="168" formatCode="0.0"/>
    <numFmt numFmtId="169" formatCode="+$#,##0;-$#,##0;&quot;-&quot;"/>
    <numFmt numFmtId="170" formatCode="yyyy-mm-dd"/>
  </numFmts>
  <fonts count="35">
    <font>
      <name val="Calibri"/>
      <family val="2"/>
      <color theme="1"/>
      <sz val="11"/>
      <scheme val="minor"/>
    </font>
    <font>
      <name val="Arial"/>
      <b val="1"/>
      <color rgb="001F2937"/>
      <sz val="10"/>
    </font>
    <font>
      <name val="Arial"/>
      <b val="1"/>
      <color rgb="001E3A5F"/>
      <sz val="10"/>
    </font>
    <font>
      <name val="Arial"/>
      <b val="1"/>
      <color rgb="00FFFFFF"/>
      <sz val="10"/>
    </font>
    <font>
      <name val="Arial"/>
      <b val="1"/>
      <color rgb="001E3A5F"/>
      <sz val="9"/>
    </font>
    <font>
      <name val="Arial"/>
      <b val="1"/>
      <color rgb="001E3A5F"/>
      <sz val="18"/>
    </font>
    <font>
      <name val="Arial"/>
      <i val="1"/>
      <color rgb="006B7280"/>
      <sz val="10"/>
    </font>
    <font>
      <name val="Arial"/>
      <b val="1"/>
      <color rgb="001E3A5F"/>
      <sz val="11"/>
    </font>
    <font>
      <name val="Arial"/>
      <b val="1"/>
      <color rgb="006B7280"/>
      <sz val="9.5"/>
    </font>
    <font>
      <name val="Arial"/>
      <color rgb="006B7280"/>
      <sz val="9.5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color rgb="001F2937"/>
      <sz val="10"/>
    </font>
    <font>
      <name val="Arial"/>
      <i val="1"/>
      <color rgb="006B7280"/>
      <sz val="9.5"/>
    </font>
    <font>
      <name val="Arial"/>
      <color rgb="006B7280"/>
      <sz val="10"/>
    </font>
    <font>
      <name val="Arial"/>
      <color rgb="003B6E9E"/>
      <sz val="9.5"/>
    </font>
    <font>
      <name val="Arial"/>
      <b val="1"/>
      <color rgb="001E3A5F"/>
      <sz val="14"/>
    </font>
    <font>
      <name val="Arial"/>
      <b val="1"/>
      <color rgb="001F2937"/>
      <sz val="11"/>
    </font>
    <font>
      <name val="Arial"/>
      <color rgb="006B7280"/>
      <sz val="9"/>
    </font>
    <font>
      <name val="Arial"/>
      <b val="1"/>
      <color rgb="001F2937"/>
      <sz val="15"/>
    </font>
    <font>
      <name val="Arial"/>
      <i val="1"/>
      <color rgb="00B7791F"/>
      <sz val="8.5"/>
    </font>
    <font>
      <name val="Arial"/>
      <b val="1"/>
      <color rgb="001F2937"/>
      <sz val="9"/>
    </font>
    <font>
      <name val="Arial"/>
      <i val="1"/>
      <color rgb="00B7791F"/>
      <sz val="9.5"/>
    </font>
    <font>
      <name val="Arial"/>
      <b val="1"/>
      <color rgb="001F2937"/>
      <sz val="9.5"/>
    </font>
    <font>
      <name val="Arial"/>
      <b val="1"/>
      <color rgb="006B7280"/>
      <sz val="9"/>
    </font>
    <font>
      <name val="Arial"/>
      <b val="1"/>
      <color rgb="001E3A5F"/>
      <sz val="15"/>
    </font>
    <font>
      <name val="Arial"/>
      <color rgb="006B7280"/>
      <sz val="8.5"/>
    </font>
    <font>
      <name val="Arial"/>
      <color rgb="001F2937"/>
      <sz val="8.5"/>
    </font>
    <font>
      <name val="Arial"/>
      <color rgb="001F2937"/>
      <sz val="9.5"/>
    </font>
    <font>
      <name val="Arial"/>
      <color rgb="00B7791F"/>
      <sz val="9.5"/>
    </font>
    <font>
      <name val="Arial"/>
      <b val="1"/>
      <color rgb="001E3A5F"/>
      <sz val="8.5"/>
    </font>
    <font>
      <name val="Arial"/>
      <b val="1"/>
      <color rgb="001F2937"/>
      <sz val="13"/>
    </font>
    <font>
      <name val="Arial"/>
      <b val="1"/>
      <color rgb="001E3A5F"/>
      <sz val="20"/>
    </font>
    <font>
      <name val="Arial"/>
      <i val="1"/>
      <color rgb="006B7280"/>
      <sz val="11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8EAED"/>
        <bgColor rgb="00E8EAED"/>
      </patternFill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EEF2F0"/>
        <bgColor rgb="00EEF2F0"/>
      </patternFill>
    </fill>
    <fill>
      <patternFill patternType="solid">
        <fgColor rgb="00E9F1F8"/>
        <bgColor rgb="00E9F1F8"/>
      </patternFill>
    </fill>
    <fill>
      <patternFill patternType="solid">
        <fgColor rgb="00F3F0FC"/>
        <bgColor rgb="00F3F0FC"/>
      </patternFill>
    </fill>
    <fill>
      <patternFill patternType="solid">
        <fgColor rgb="00F0F1F3"/>
        <bgColor rgb="00F0F1F3"/>
      </patternFill>
    </fill>
    <fill>
      <patternFill patternType="solid">
        <fgColor rgb="00B7791F"/>
        <bgColor rgb="00B7791F"/>
      </patternFill>
    </fill>
    <fill>
      <patternFill patternType="solid">
        <fgColor rgb="00FCF3E3"/>
        <bgColor rgb="00FCF3E3"/>
      </patternFill>
    </fill>
  </fills>
  <borders count="11">
    <border>
      <left/>
      <right/>
      <top/>
      <bottom/>
      <diagonal/>
    </border>
    <border>
      <left style="thin">
        <color rgb="00E3E6EA"/>
      </left>
      <right style="thin">
        <color rgb="00E3E6EA"/>
      </right>
      <top style="thin">
        <color rgb="00E3E6EA"/>
      </top>
      <bottom/>
    </border>
    <border>
      <left style="thin">
        <color rgb="00E3E6EA"/>
      </left>
      <right style="thin">
        <color rgb="00E3E6EA"/>
      </right>
      <top/>
      <bottom/>
    </border>
    <border>
      <left style="thin">
        <color rgb="00E3E6EA"/>
      </left>
      <right style="thin">
        <color rgb="00E3E6EA"/>
      </right>
      <top/>
      <bottom style="thin">
        <color rgb="00E3E6EA"/>
      </bottom>
    </border>
    <border>
      <left style="thin">
        <color rgb="00E3E6EA"/>
      </left>
      <right style="thin">
        <color rgb="00E3E6EA"/>
      </right>
      <top style="thin">
        <color rgb="00E3E6EA"/>
      </top>
      <bottom style="thin">
        <color rgb="00E3E6EA"/>
      </bottom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  <border>
      <left/>
      <right/>
      <top/>
      <bottom/>
    </border>
    <border>
      <left style="thin">
        <color rgb="00E9F1F8"/>
      </left>
      <right style="thin">
        <color rgb="00E9F1F8"/>
      </right>
      <top style="thin">
        <color rgb="00E9F1F8"/>
      </top>
      <bottom style="thin">
        <color rgb="00E9F1F8"/>
      </bottom>
    </border>
    <border>
      <left style="dashed">
        <color rgb="00C9BEEA"/>
      </left>
      <right style="dashed">
        <color rgb="00C9BEEA"/>
      </right>
      <top style="dashed">
        <color rgb="00C9BEEA"/>
      </top>
      <bottom style="dashed">
        <color rgb="00C9BEEA"/>
      </bottom>
    </border>
    <border>
      <left style="thin">
        <color rgb="00FCF3E3"/>
      </left>
      <right style="thin">
        <color rgb="00FCF3E3"/>
      </right>
      <top style="thin">
        <color rgb="00FCF3E3"/>
      </top>
      <bottom style="thin">
        <color rgb="00FCF3E3"/>
      </bottom>
    </border>
    <border>
      <left style="thin">
        <color rgb="00F0F1F3"/>
      </left>
      <right style="thin">
        <color rgb="00F0F1F3"/>
      </right>
      <top style="thin">
        <color rgb="00F0F1F3"/>
      </top>
      <bottom style="thin">
        <color rgb="00F0F1F3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32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4" fillId="9" borderId="4" applyAlignment="1" pivotButton="0" quotePrefix="0" xfId="0">
      <alignment horizontal="center" vertical="center" wrapText="1"/>
    </xf>
    <xf numFmtId="0" fontId="34" fillId="3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2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23" fillId="4" borderId="5" applyAlignment="1" applyProtection="1" pivotButton="0" quotePrefix="0" xfId="0">
      <alignment horizontal="left" vertical="center"/>
      <protection locked="0" hidden="0"/>
    </xf>
    <xf numFmtId="0" fontId="24" fillId="4" borderId="1" applyAlignment="1" pivotButton="0" quotePrefix="0" xfId="0">
      <alignment horizontal="center" vertical="center" wrapText="1"/>
    </xf>
    <xf numFmtId="165" fontId="25" fillId="4" borderId="2" applyAlignment="1" pivotButton="0" quotePrefix="0" xfId="0">
      <alignment horizontal="center" vertical="center" wrapText="1"/>
    </xf>
    <xf numFmtId="164" fontId="25" fillId="4" borderId="2" applyAlignment="1" pivotButton="0" quotePrefix="0" xfId="0">
      <alignment horizontal="center" vertical="center" wrapText="1"/>
    </xf>
    <xf numFmtId="0" fontId="26" fillId="4" borderId="3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7" fillId="0" borderId="0" pivotButton="0" quotePrefix="0" xfId="0"/>
    <xf numFmtId="0" fontId="28" fillId="6" borderId="0" applyAlignment="1" pivotButton="0" quotePrefix="0" xfId="0">
      <alignment horizontal="left" vertical="center"/>
    </xf>
    <xf numFmtId="0" fontId="30" fillId="4" borderId="1" applyAlignment="1" pivotButton="0" quotePrefix="0" xfId="0">
      <alignment horizontal="center" vertical="center" wrapText="1"/>
    </xf>
    <xf numFmtId="0" fontId="31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4" borderId="5" applyProtection="1" pivotButton="0" quotePrefix="0" xfId="0">
      <protection locked="0" hidden="0"/>
    </xf>
    <xf numFmtId="0" fontId="10" fillId="0" borderId="0" pivotButton="0" quotePrefix="0" xfId="0"/>
    <xf numFmtId="0" fontId="15" fillId="6" borderId="7" applyAlignment="1" pivotButton="0" quotePrefix="0" xfId="0">
      <alignment horizontal="left" vertical="center" wrapText="1"/>
    </xf>
    <xf numFmtId="165" fontId="17" fillId="4" borderId="5" applyProtection="1" pivotButton="0" quotePrefix="0" xfId="0">
      <protection locked="0" hidden="0"/>
    </xf>
    <xf numFmtId="0" fontId="9" fillId="8" borderId="1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4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165" fontId="9" fillId="4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3" borderId="4" applyAlignment="1" pivotButton="0" quotePrefix="0" xfId="0">
      <alignment horizontal="center" vertical="center" wrapText="1"/>
    </xf>
    <xf numFmtId="0" fontId="12" fillId="4" borderId="5" applyAlignment="1" applyProtection="1" pivotButton="0" quotePrefix="0" xfId="0">
      <alignment horizontal="left" vertical="center"/>
      <protection locked="0" hidden="0"/>
    </xf>
    <xf numFmtId="165" fontId="12" fillId="4" borderId="5" applyAlignment="1" applyProtection="1" pivotButton="0" quotePrefix="0" xfId="0">
      <alignment horizontal="right" vertical="center"/>
      <protection locked="0" hidden="0"/>
    </xf>
    <xf numFmtId="164" fontId="12" fillId="4" borderId="5" applyAlignment="1" applyProtection="1" pivotButton="0" quotePrefix="0" xfId="0">
      <alignment horizontal="right" vertical="center"/>
      <protection locked="0" hidden="0"/>
    </xf>
    <xf numFmtId="165" fontId="12" fillId="5" borderId="6" applyAlignment="1" pivotButton="0" quotePrefix="0" xfId="0">
      <alignment horizontal="right" vertical="center"/>
    </xf>
    <xf numFmtId="164" fontId="12" fillId="5" borderId="6" applyAlignment="1" pivotButton="0" quotePrefix="0" xfId="0">
      <alignment horizontal="right" vertical="center"/>
    </xf>
    <xf numFmtId="3" fontId="12" fillId="5" borderId="6" applyAlignment="1" pivotButton="0" quotePrefix="0" xfId="0">
      <alignment horizontal="right" vertical="center"/>
    </xf>
    <xf numFmtId="1" fontId="12" fillId="5" borderId="6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0" pivotButton="0" quotePrefix="0" xfId="0"/>
    <xf numFmtId="166" fontId="12" fillId="4" borderId="5" applyAlignment="1" applyProtection="1" pivotButton="0" quotePrefix="0" xfId="0">
      <alignment horizontal="right" vertical="center"/>
      <protection locked="0" hidden="0"/>
    </xf>
    <xf numFmtId="3" fontId="12" fillId="4" borderId="5" applyAlignment="1" applyProtection="1" pivotButton="0" quotePrefix="0" xfId="0">
      <alignment horizontal="right" vertical="center"/>
      <protection locked="0" hidden="0"/>
    </xf>
    <xf numFmtId="165" fontId="12" fillId="7" borderId="8" applyAlignment="1" applyProtection="1" pivotButton="0" quotePrefix="0" xfId="0">
      <alignment horizontal="right" vertical="center"/>
      <protection locked="0" hidden="0"/>
    </xf>
    <xf numFmtId="164" fontId="12" fillId="7" borderId="8" applyAlignment="1" applyProtection="1" pivotButton="0" quotePrefix="0" xfId="0">
      <alignment horizontal="right" vertical="center"/>
      <protection locked="0" hidden="0"/>
    </xf>
    <xf numFmtId="167" fontId="12" fillId="4" borderId="5" applyAlignment="1" applyProtection="1" pivotButton="0" quotePrefix="0" xfId="0">
      <alignment horizontal="right" vertical="center"/>
      <protection locked="0" hidden="0"/>
    </xf>
    <xf numFmtId="0" fontId="16" fillId="4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right" vertical="center"/>
    </xf>
    <xf numFmtId="3" fontId="17" fillId="0" borderId="0" applyAlignment="1" pivotButton="0" quotePrefix="0" xfId="0">
      <alignment horizontal="right" vertical="center"/>
    </xf>
    <xf numFmtId="0" fontId="1" fillId="8" borderId="4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0" borderId="0" pivotButton="0" quotePrefix="0" xfId="0"/>
    <xf numFmtId="165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 wrapText="1"/>
    </xf>
    <xf numFmtId="0" fontId="18" fillId="0" borderId="0" pivotButton="0" quotePrefix="0" xfId="0"/>
    <xf numFmtId="164" fontId="1" fillId="7" borderId="8" applyAlignment="1" applyProtection="1" pivotButton="0" quotePrefix="0" xfId="0">
      <alignment horizontal="right" vertical="center"/>
      <protection locked="0" hidden="0"/>
    </xf>
    <xf numFmtId="168" fontId="1" fillId="7" borderId="8" applyAlignment="1" applyProtection="1" pivotButton="0" quotePrefix="0" xfId="0">
      <alignment horizontal="right" vertical="center"/>
      <protection locked="0" hidden="0"/>
    </xf>
    <xf numFmtId="165" fontId="1" fillId="7" borderId="8" applyAlignment="1" applyProtection="1" pivotButton="0" quotePrefix="0" xfId="0">
      <alignment horizontal="right" vertical="center"/>
      <protection locked="0" hidden="0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169" fontId="19" fillId="4" borderId="4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 wrapText="1"/>
    </xf>
    <xf numFmtId="0" fontId="29" fillId="10" borderId="9" applyAlignment="1" pivotButton="0" quotePrefix="0" xfId="0">
      <alignment horizontal="left" vertical="center" wrapText="1"/>
    </xf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7" fillId="0" borderId="0" pivotButton="0" quotePrefix="0" xfId="0"/>
    <xf numFmtId="0" fontId="2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C0392B"/>
      </font>
      <fill>
        <patternFill patternType="solid">
          <fgColor rgb="00FBEAE9"/>
          <bgColor rgb="00FBEAE9"/>
        </patternFill>
      </fill>
    </dxf>
    <dxf>
      <font>
        <b val="1"/>
        <color rgb="001E8E5A"/>
      </font>
      <fill>
        <patternFill patternType="solid">
          <fgColor rgb="00E7F4EE"/>
          <bgColor rgb="00E7F4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Evolución de ventas y ganancia</a:t>
            </a:r>
          </a:p>
        </rich>
      </tx>
    </title>
    <plotArea>
      <lineChart>
        <grouping val="standard"/>
        <ser>
          <idx val="0"/>
          <order val="0"/>
          <tx>
            <strRef>
              <f>'_DashboardData'!B21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'_DashboardData'!$A$22:$A$28</f>
            </numRef>
          </cat>
          <val>
            <numRef>
              <f>'_DashboardData'!$B$22:$B$28</f>
            </numRef>
          </val>
          <smooth val="0"/>
        </ser>
        <ser>
          <idx val="1"/>
          <order val="1"/>
          <tx>
            <strRef>
              <f>'_DashboardData'!C21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'_DashboardData'!$A$22:$A$28</f>
            </numRef>
          </cat>
          <val>
            <numRef>
              <f>'_DashboardData'!$C$22:$C$28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Ganancia por producto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'_DashboardData'!B31</f>
            </strRef>
          </tx>
          <spPr>
            <a:ln>
              <a:prstDash val="solid"/>
            </a:ln>
          </spPr>
          <cat>
            <numRef>
              <f>'_DashboardData'!$A$32:$A$41</f>
            </numRef>
          </cat>
          <val>
            <numRef>
              <f>'_DashboardData'!$B$32:$B$41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Progreso hacia el objetivo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'_DashboardData'!E1</f>
            </strRef>
          </tx>
          <spPr>
            <a:ln>
              <a:prstDash val="solid"/>
            </a:ln>
          </spPr>
          <val>
            <numRef>
              <f>'_DashboardData'!$E$2</f>
            </numRef>
          </val>
        </ser>
        <ser>
          <idx val="1"/>
          <order val="1"/>
          <tx>
            <strRef>
              <f>'_DashboardData'!F1</f>
            </strRef>
          </tx>
          <spPr>
            <a:ln>
              <a:prstDash val="solid"/>
            </a:ln>
          </spPr>
          <val>
            <numRef>
              <f>'_DashboardData'!$F$2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Evolución de ventas y ganancia</a:t>
            </a:r>
          </a:p>
        </rich>
      </tx>
    </title>
    <plotArea>
      <lineChart>
        <grouping val="standard"/>
        <ser>
          <idx val="0"/>
          <order val="0"/>
          <tx>
            <strRef>
              <f>'_Demo_Datos'!B126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'_Demo_Datos'!$A$127:$A$132</f>
            </numRef>
          </cat>
          <val>
            <numRef>
              <f>'_Demo_Datos'!$B$127:$B$132</f>
            </numRef>
          </val>
          <smooth val="0"/>
        </ser>
        <ser>
          <idx val="1"/>
          <order val="1"/>
          <tx>
            <strRef>
              <f>'_Demo_Datos'!C126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'_Demo_Datos'!$A$127:$A$132</f>
            </numRef>
          </cat>
          <val>
            <numRef>
              <f>'_Demo_Datos'!$C$127:$C$132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Ganancia por producto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'_Demo_Datos'!B115</f>
            </strRef>
          </tx>
          <spPr>
            <a:ln>
              <a:prstDash val="solid"/>
            </a:ln>
          </spPr>
          <cat>
            <numRef>
              <f>'_Demo_Datos'!$A$116:$A$123</f>
            </numRef>
          </cat>
          <val>
            <numRef>
              <f>'_Demo_Datos'!$B$116:$B$123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Progreso hacia el objetivo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'_Demo_Datos'!R115</f>
            </strRef>
          </tx>
          <spPr>
            <a:ln>
              <a:prstDash val="solid"/>
            </a:ln>
          </spPr>
          <val>
            <numRef>
              <f>'_Demo_Datos'!$R$116</f>
            </numRef>
          </val>
        </ser>
        <ser>
          <idx val="1"/>
          <order val="1"/>
          <tx>
            <strRef>
              <f>'_Demo_Datos'!S115</f>
            </strRef>
          </tx>
          <spPr>
            <a:ln>
              <a:prstDash val="solid"/>
            </a:ln>
          </spPr>
          <val>
            <numRef>
              <f>'_Demo_Datos'!$S$116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100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40</row>
      <rowOff>0</rowOff>
    </from>
    <ext cx="48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40</row>
      <rowOff>0</rowOff>
    </from>
    <ext cx="48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100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40</row>
      <rowOff>0</rowOff>
    </from>
    <ext cx="48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40</row>
      <rowOff>0</rowOff>
    </from>
    <ext cx="48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ductos" displayName="tbl_Productos" ref="B12:P13" headerRowCount="1">
  <autoFilter ref="B12:P13"/>
  <tableColumns count="15">
    <tableColumn id="2" name="Producto"/>
    <tableColumn id="3" name="Categoría"/>
    <tableColumn id="4" name="Precio de venta"/>
    <tableColumn id="5" name="Costo del producto"/>
    <tableColumn id="6" name="Comisión %"/>
    <tableColumn id="7" name="Packaging"/>
    <tableColumn id="8" name="Envío / costo asociado"/>
    <tableColumn id="9" name="Publicidad atribuida"/>
    <tableColumn id="10" name="Otros costos"/>
    <tableColumn id="11" name="Costo real de venta"/>
    <tableColumn id="12" name="Ganancia por unidad"/>
    <tableColumn id="13" name="Margen"/>
    <tableColumn id="14" name="Unidades vendidas"/>
    <tableColumn id="15" name="Ganancia total"/>
    <tableColumn id="16" name="Alerta margen bajo"/>
  </tableColumns>
  <tableStyleInfo name="TableStyleMedium2" showRowStripes="1"/>
</table>
</file>

<file path=xl/tables/table2.xml><?xml version="1.0" encoding="utf-8"?>
<table xmlns="http://schemas.openxmlformats.org/spreadsheetml/2006/main" id="2" name="tbl_Ventas" displayName="tbl_Ventas" ref="B9:L10" headerRowCount="1">
  <autoFilter ref="B9:L10"/>
  <tableColumns count="11">
    <tableColumn id="2" name="Fecha"/>
    <tableColumn id="3" name="Producto"/>
    <tableColumn id="4" name="Cantidad"/>
    <tableColumn id="5" name="Precio de venta"/>
    <tableColumn id="6" name="Canal"/>
    <tableColumn id="7" name="Comisión %"/>
    <tableColumn id="8" name="Descuento"/>
    <tableColumn id="9" name="Otros costos"/>
    <tableColumn id="10" name="Venta total"/>
    <tableColumn id="11" name="Costo total de la venta"/>
    <tableColumn id="12" name="Ganancia"/>
  </tableColumns>
  <tableStyleInfo name="TableStyleMedium2" showRowStripes="1"/>
</table>
</file>

<file path=xl/tables/table3.xml><?xml version="1.0" encoding="utf-8"?>
<table xmlns="http://schemas.openxmlformats.org/spreadsheetml/2006/main" id="3" name="tbl_Gastos" displayName="tbl_Gastos" ref="B9:F10" headerRowCount="1">
  <autoFilter ref="B9:F10"/>
  <tableColumns count="5">
    <tableColumn id="2" name="Fecha"/>
    <tableColumn id="3" name="Categoría"/>
    <tableColumn id="4" name="Descripción"/>
    <tableColumn id="5" name="Importe"/>
    <tableColumn id="6" name="Tipo de gasto"/>
  </tableColumns>
  <tableStyleInfo name="TableStyleMedium2" showRowStripes="1"/>
</table>
</file>

<file path=xl/tables/table4.xml><?xml version="1.0" encoding="utf-8"?>
<table xmlns="http://schemas.openxmlformats.org/spreadsheetml/2006/main" id="4" name="tbl_Objetivos" displayName="tbl_Objetivos" ref="B6:C7" headerRowCount="1">
  <autoFilter ref="B6:C7"/>
  <tableColumns count="2">
    <tableColumn id="2" name="Periodo (Mes-Año)"/>
    <tableColumn id="3" name="Objetivo de gananc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7916; Demo'!A1" TargetMode="External" Id="rId1" /><Relationship Type="http://schemas.openxmlformats.org/officeDocument/2006/relationships/hyperlink" Target="#'&#127968; Inicio'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&#9881;&#65039; Configuraci&#243;n'!A1" TargetMode="External" Id="rId1" /><Relationship Type="http://schemas.openxmlformats.org/officeDocument/2006/relationships/hyperlink" Target="#'&#128230; Productos'!A1" TargetMode="External" Id="rId2" /><Relationship Type="http://schemas.openxmlformats.org/officeDocument/2006/relationships/hyperlink" Target="#'&#128722; Ventas'!A1" TargetMode="External" Id="rId3" /><Relationship Type="http://schemas.openxmlformats.org/officeDocument/2006/relationships/hyperlink" Target="#'&#128184; Gastos'!A1" TargetMode="External" Id="rId4" /><Relationship Type="http://schemas.openxmlformats.org/officeDocument/2006/relationships/hyperlink" Target="#'&#127919; Objetiv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drawing" Target="/xl/drawings/drawing1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128230; Productos'!A1" TargetMode="External" Id="rId2" /><Relationship Type="http://schemas.openxmlformats.org/officeDocument/2006/relationships/hyperlink" Target="#'&#128722; Ventas'!A1" TargetMode="External" Id="rId3" /><Relationship Type="http://schemas.openxmlformats.org/officeDocument/2006/relationships/hyperlink" Target="#'&#128184; Gastos'!A1" TargetMode="External" Id="rId4" /><Relationship Type="http://schemas.openxmlformats.org/officeDocument/2006/relationships/hyperlink" Target="#'&#127919; Objetiv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hyperlink" Target="#'&#128230; Productos'!A1" TargetMode="External" Id="rId7" /><Relationship Type="http://schemas.openxmlformats.org/officeDocument/2006/relationships/hyperlink" Target="#'&#128722; Ventas'!A1" TargetMode="External" Id="rId8" /><Relationship Type="http://schemas.openxmlformats.org/officeDocument/2006/relationships/hyperlink" Target="#'&#128184; Gastos'!A1" TargetMode="External" Id="rId9" /><Relationship Type="http://schemas.openxmlformats.org/officeDocument/2006/relationships/hyperlink" Target="#'&#127968; Inicio'!A1" TargetMode="External" Id="rId10" /><Relationship Type="http://schemas.openxmlformats.org/officeDocument/2006/relationships/hyperlink" Target="#'&#128184; Gastos'!A1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722; Ventas'!A1" TargetMode="External" Id="rId3" /><Relationship Type="http://schemas.openxmlformats.org/officeDocument/2006/relationships/hyperlink" Target="#'&#128184; Gastos'!A1" TargetMode="External" Id="rId4" /><Relationship Type="http://schemas.openxmlformats.org/officeDocument/2006/relationships/hyperlink" Target="#'&#127919; Objetiv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table" Target="/xl/tables/table1.xml" Id="rId7" /></Relationships>
</file>

<file path=xl/worksheets/_rels/sheet5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230; Productos'!A1" TargetMode="External" Id="rId3" /><Relationship Type="http://schemas.openxmlformats.org/officeDocument/2006/relationships/hyperlink" Target="#'&#128184; Gastos'!A1" TargetMode="External" Id="rId4" /><Relationship Type="http://schemas.openxmlformats.org/officeDocument/2006/relationships/hyperlink" Target="#'&#127919; Objetiv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hyperlink" Target="#'&#128230; Productos'!A1" TargetMode="External" Id="rId7" /><Relationship Type="http://schemas.openxmlformats.org/officeDocument/2006/relationships/table" Target="/xl/tables/table2.xml" Id="rId8" /></Relationships>
</file>

<file path=xl/worksheets/_rels/sheet6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230; Productos'!A1" TargetMode="External" Id="rId3" /><Relationship Type="http://schemas.openxmlformats.org/officeDocument/2006/relationships/hyperlink" Target="#'&#128722; Ventas'!A1" TargetMode="External" Id="rId4" /><Relationship Type="http://schemas.openxmlformats.org/officeDocument/2006/relationships/hyperlink" Target="#'&#127919; Objetiv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table" Target="/xl/tables/table3.xml" Id="rId7" /></Relationships>
</file>

<file path=xl/worksheets/_rels/sheet7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230; Productos'!A1" TargetMode="External" Id="rId3" /><Relationship Type="http://schemas.openxmlformats.org/officeDocument/2006/relationships/hyperlink" Target="#'&#128722; Ventas'!A1" TargetMode="External" Id="rId4" /><Relationship Type="http://schemas.openxmlformats.org/officeDocument/2006/relationships/hyperlink" Target="#'&#128184; Gastos'!A1" TargetMode="External" Id="rId5" /><Relationship Type="http://schemas.openxmlformats.org/officeDocument/2006/relationships/hyperlink" Target="#'&#128300; Simulador'!A1" TargetMode="External" Id="rId6" /><Relationship Type="http://schemas.openxmlformats.org/officeDocument/2006/relationships/table" Target="/xl/tables/table4.xml" Id="rId7" /></Relationships>
</file>

<file path=xl/worksheets/_rels/sheet8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230; Productos'!A1" TargetMode="External" Id="rId3" /><Relationship Type="http://schemas.openxmlformats.org/officeDocument/2006/relationships/hyperlink" Target="#'&#128722; Ventas'!A1" TargetMode="External" Id="rId4" /><Relationship Type="http://schemas.openxmlformats.org/officeDocument/2006/relationships/hyperlink" Target="#'&#128184; Gastos'!A1" TargetMode="External" Id="rId5" /><Relationship Type="http://schemas.openxmlformats.org/officeDocument/2006/relationships/hyperlink" Target="#'&#127919; Objetivos'!A1" TargetMode="External" Id="rId6" /><Relationship Type="http://schemas.openxmlformats.org/officeDocument/2006/relationships/hyperlink" Target="#'&#128722; Ventas'!A1" TargetMode="External" Id="rId7" /></Relationships>
</file>

<file path=xl/worksheets/_rels/sheet9.xml.rels><Relationships xmlns="http://schemas.openxmlformats.org/package/2006/relationships"><Relationship Type="http://schemas.openxmlformats.org/officeDocument/2006/relationships/hyperlink" Target="#'&#127968; Inicio'!A1" TargetMode="External" Id="rId1" /><Relationship Type="http://schemas.openxmlformats.org/officeDocument/2006/relationships/hyperlink" Target="#'&#9881;&#65039; Configuraci&#243;n'!A1" TargetMode="External" Id="rId2" /><Relationship Type="http://schemas.openxmlformats.org/officeDocument/2006/relationships/hyperlink" Target="#'&#128230; Productos'!A1" TargetMode="External" Id="rId3" /><Relationship Type="http://schemas.openxmlformats.org/officeDocument/2006/relationships/hyperlink" Target="#'&#128722; Ventas'!A1" TargetMode="External" Id="rId4" /><Relationship Type="http://schemas.openxmlformats.org/officeDocument/2006/relationships/hyperlink" Target="#'&#128184; Gastos'!A1" TargetMode="External" Id="rId5" /><Relationship Type="http://schemas.openxmlformats.org/officeDocument/2006/relationships/hyperlink" Target="#'&#127919; Objetivos'!A1" TargetMode="External" Id="rId6" /><Relationship Type="http://schemas.openxmlformats.org/officeDocument/2006/relationships/hyperlink" Target="#'&#128300; Simulador'!A1" TargetMode="External" Id="rId7" /><Relationship Type="http://schemas.openxmlformats.org/officeDocument/2006/relationships/hyperlink" Target="#'&#127968; Inicio'!A1" TargetMode="External" Id="rId8" /><Relationship Type="http://schemas.openxmlformats.org/officeDocument/2006/relationships/drawing" Target="/xl/drawings/drawing2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3" ht="30" customHeight="1">
      <c r="B3" s="1" t="inlineStr">
        <is>
          <t>PROFITLY — CENTRO DE CONTROL DE RENTABILIDAD</t>
        </is>
      </c>
    </row>
    <row r="5">
      <c r="B5" s="2" t="inlineStr">
        <is>
          <t>Sabé exactamente cuánto ganás, qué te hace ganar dinero y qué decisiones pueden aumentar tu rentabilidad.</t>
        </is>
      </c>
    </row>
    <row r="9">
      <c r="C9" s="3" t="inlineStr">
        <is>
          <t>🎬
Ver una demo
Mirá un ejemplo con datos ficticios y entendé cómo funciona Profitly.
Entrar →</t>
        </is>
      </c>
      <c r="I9" s="4" t="inlineStr">
        <is>
          <t>🚀
Empezar con mi negocio
Cargá tus productos y ventas reales y llevá el control de tu rentabilidad.
Entrar →</t>
        </is>
      </c>
    </row>
    <row r="10"/>
    <row r="11"/>
    <row r="12"/>
    <row r="13"/>
    <row r="14"/>
    <row r="17">
      <c r="B17" s="5" t="inlineStr">
        <is>
          <t>¿Primera vez? Te recomendamos empezar por la Demo.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5">
    <mergeCell ref="B17:O17"/>
    <mergeCell ref="B3:O3"/>
    <mergeCell ref="B5:O5"/>
    <mergeCell ref="C9:G14"/>
    <mergeCell ref="I9:M14"/>
  </mergeCells>
  <hyperlinks>
    <hyperlink xmlns:r="http://schemas.openxmlformats.org/officeDocument/2006/relationships" ref="C9" r:id="rId1"/>
    <hyperlink xmlns:r="http://schemas.openxmlformats.org/officeDocument/2006/relationships" ref="I9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6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🏠 INICIO</t>
        </is>
      </c>
    </row>
    <row r="4" ht="16" customHeight="1">
      <c r="B4" s="10" t="inlineStr">
        <is>
          <t>Tu negocio, en números.</t>
        </is>
      </c>
    </row>
    <row r="5" ht="6" customHeight="1"/>
    <row r="6">
      <c r="B6" s="11">
        <f>IF(COUNTA(tbl_Productos[Producto])=0,"🚀 Te falta 1 paso para ver tu panorama completo: Configurá tu negocio y agregá productos → Ir a ⚙️ Configuración",IF(COUNTA(tbl_Ventas[Fecha])=0,"🚀 Te falta 1 paso: Registrá tu primera venta → Ir a 🛒 Ventas",IF(COUNTA(tbl_Gastos[Fecha])=0,"🚀 Te falta 1 paso: Registrá tus gastos → Ir a 💸 Gastos",IF(OR(Cfg_ObjetivoMensualDefault=0,COUNTA(tbl_Objetivos[Objetivo de ganancia])&lt;=1),"🚀 Te falta 1 paso: Definí tu objetivo mensual → Ir a 🎯 Objetivos",""))))</f>
        <v/>
      </c>
    </row>
    <row r="7">
      <c r="F7" s="12" t="inlineStr">
        <is>
          <t>Viendo:</t>
        </is>
      </c>
      <c r="G7" s="13" t="inlineStr">
        <is>
          <t>Este mes</t>
        </is>
      </c>
    </row>
    <row r="9">
      <c r="B9" s="14" t="inlineStr">
        <is>
          <t>VENTAS</t>
        </is>
      </c>
      <c r="F9" s="14" t="inlineStr">
        <is>
          <t>GANANCIA REAL</t>
        </is>
      </c>
      <c r="J9" s="14" t="inlineStr">
        <is>
          <t>MARGEN</t>
        </is>
      </c>
      <c r="N9" s="14" t="inlineStr">
        <is>
          <t>GASTOS</t>
        </is>
      </c>
    </row>
    <row r="10">
      <c r="B10" s="15">
        <f>KPI_VentasPeriodo</f>
        <v/>
      </c>
      <c r="F10" s="15">
        <f>KPI_GananciaReal</f>
        <v/>
      </c>
      <c r="J10" s="16">
        <f>KPI_MargenReal</f>
        <v/>
      </c>
      <c r="N10" s="15">
        <f>KPI_GastosPeriodo</f>
        <v/>
      </c>
    </row>
    <row r="11">
      <c r="B11" s="17">
        <f>IF(KPI_VentasPeriodo_Delta="","",IF(KPI_VentasPeriodo_Delta&gt;0,"▲ ","▼ ")&amp;TEXT(ABS(KPI_VentasPeriodo_Delta),"0%")&amp;" vs. período anterior")</f>
        <v/>
      </c>
      <c r="F11" s="17">
        <f>IF(KPI_GananciaReal_Delta="","",IF(KPI_GananciaReal_Delta&gt;0,"▲ ","▼ ")&amp;TEXT(ABS(KPI_GananciaReal_Delta),"0%")&amp;" vs. período anterior")</f>
        <v/>
      </c>
      <c r="J11" s="17">
        <f>IF(KPI_MargenReal_Delta="","",IF(KPI_MargenReal_Delta&gt;0,"▲ ","▼ ")&amp;TEXT(ABS(KPI_MargenReal_Delta),"0%")&amp;" vs. período anterior")</f>
        <v/>
      </c>
      <c r="N11" s="17">
        <f>IF(KPI_GastosPeriodo_Delta="","",IF(KPI_GastosPeriodo_Delta&lt;0,"▲ ","▼ ")&amp;TEXT(ABS(KPI_GastosPeriodo_Delta),"0%")&amp;" vs. período anterior")</f>
        <v/>
      </c>
    </row>
    <row r="13">
      <c r="B13" s="14" t="inlineStr">
        <is>
          <t>TICKET PROMEDIO</t>
        </is>
      </c>
      <c r="F13" s="14" t="inlineStr">
        <is>
          <t>OBJETIVO MENSUAL</t>
        </is>
      </c>
      <c r="J13" s="14" t="inlineStr">
        <is>
          <t>PROGRESO</t>
        </is>
      </c>
    </row>
    <row r="14">
      <c r="B14" s="15">
        <f>KPI_TicketPromedio</f>
        <v/>
      </c>
      <c r="F14" s="15">
        <f>Obj_GananciaObjetivo</f>
        <v/>
      </c>
      <c r="J14" s="16">
        <f>IFERROR(Obj_ProgresoPct,0)</f>
        <v/>
      </c>
    </row>
    <row r="15">
      <c r="B15" s="18" t="inlineStr"/>
      <c r="F15" s="18" t="inlineStr"/>
      <c r="J15" s="18" t="inlineStr"/>
    </row>
    <row r="17">
      <c r="B17" s="19" t="inlineStr">
        <is>
          <t>💡 Lo que Profitly encontró en tus números</t>
        </is>
      </c>
    </row>
    <row r="18">
      <c r="B18" s="20">
        <f>Ins_Texto1</f>
        <v/>
      </c>
    </row>
    <row r="19">
      <c r="B19" s="20">
        <f>Ins_Texto2</f>
        <v/>
      </c>
    </row>
    <row r="20">
      <c r="B20" s="20">
        <f>Ins_Texto3</f>
        <v/>
      </c>
    </row>
    <row r="21">
      <c r="B21" s="20">
        <f>Ins_Texto4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35">
    <mergeCell ref="B11:D11"/>
    <mergeCell ref="B14:D14"/>
    <mergeCell ref="D1:E1"/>
    <mergeCell ref="H1:I1"/>
    <mergeCell ref="J1:K1"/>
    <mergeCell ref="B13:D13"/>
    <mergeCell ref="Q1:S1"/>
    <mergeCell ref="J11:L11"/>
    <mergeCell ref="B18:P18"/>
    <mergeCell ref="B10:D10"/>
    <mergeCell ref="N10:P10"/>
    <mergeCell ref="F13:H13"/>
    <mergeCell ref="B19:P19"/>
    <mergeCell ref="B9:D9"/>
    <mergeCell ref="N9:P9"/>
    <mergeCell ref="F9:H9"/>
    <mergeCell ref="B15:D15"/>
    <mergeCell ref="B1:C1"/>
    <mergeCell ref="N1:O1"/>
    <mergeCell ref="F14:H14"/>
    <mergeCell ref="B20:P20"/>
    <mergeCell ref="L1:M1"/>
    <mergeCell ref="B4:P4"/>
    <mergeCell ref="F11:H11"/>
    <mergeCell ref="N11:P11"/>
    <mergeCell ref="F10:H10"/>
    <mergeCell ref="J14:L14"/>
    <mergeCell ref="J10:L10"/>
    <mergeCell ref="J13:L13"/>
    <mergeCell ref="B3:P3"/>
    <mergeCell ref="J9:L9"/>
    <mergeCell ref="F15:H15"/>
    <mergeCell ref="F1:G1"/>
    <mergeCell ref="B21:P21"/>
    <mergeCell ref="J15:L15"/>
  </mergeCells>
  <conditionalFormatting sqref="J14:L14">
    <cfRule type="dataBar" priority="1">
      <dataBar showValue="1">
        <cfvo type="num" val="0"/>
        <cfvo type="num" val="1"/>
        <color rgb="001E8E5A"/>
      </dataBar>
    </cfRule>
  </conditionalFormatting>
  <dataValidations count="3">
    <dataValidation sqref="G7" showDropDown="0" showInputMessage="0" showErrorMessage="0" allowBlank="0" type="list">
      <formula1>=Lst_PeriodosRapidos</formula1>
    </dataValidation>
    <dataValidation sqref="F9" showDropDown="0" showInputMessage="1" showErrorMessage="0" allowBlank="0" promptTitle="GANANCIA REAL" prompt="Lo que realmente te queda después de descontar los costos de cada venta y los gastos generales de tu negocio."/>
    <dataValidation sqref="J9" showDropDown="0" showInputMessage="1" showErrorMessage="0" allowBlank="0" promptTitle="MARGEN" prompt="Porcentaje de tus ventas que queda después de descontar los costos asociados a vender."/>
  </dataValidations>
  <hyperlinks>
    <hyperlink xmlns:r="http://schemas.openxmlformats.org/officeDocument/2006/relationships" ref="D1" r:id="rId1"/>
    <hyperlink xmlns:r="http://schemas.openxmlformats.org/officeDocument/2006/relationships" ref="F1" r:id="rId2"/>
    <hyperlink xmlns:r="http://schemas.openxmlformats.org/officeDocument/2006/relationships" ref="H1" r:id="rId3"/>
    <hyperlink xmlns:r="http://schemas.openxmlformats.org/officeDocument/2006/relationships" ref="J1" r:id="rId4"/>
    <hyperlink xmlns:r="http://schemas.openxmlformats.org/officeDocument/2006/relationships" ref="L1" r:id="rId5"/>
    <hyperlink xmlns:r="http://schemas.openxmlformats.org/officeDocument/2006/relationships" ref="N1" r:id="rId6"/>
  </hyperlinks>
  <pageMargins left="0.75" right="0.75" top="1" bottom="1" header="0.5" footer="0.5"/>
  <drawing xmlns:r="http://schemas.openxmlformats.org/officeDocument/2006/relationships" r:id="rId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B1" s="7" t="inlineStr">
        <is>
          <t>🏠 Inicio</t>
        </is>
      </c>
      <c r="D1" s="6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⚙️ CONFIGURACIÓN</t>
        </is>
      </c>
    </row>
    <row r="4" ht="16" customHeight="1">
      <c r="B4" s="10" t="inlineStr">
        <is>
          <t>Configurá tu negocio una vez — Profitly usa esto en todas las pantallas.</t>
        </is>
      </c>
    </row>
    <row r="5" ht="6" customHeight="1"/>
    <row r="6" ht="26" customHeight="1">
      <c r="B6" s="21" t="inlineStr">
        <is>
          <t>1. Configurá tu negocio</t>
        </is>
      </c>
      <c r="E6" s="21" t="inlineStr">
        <is>
          <t>2. Agregá tus productos →📦</t>
        </is>
      </c>
      <c r="H6" s="21" t="inlineStr">
        <is>
          <t>3. Registrá tus ventas →🛒</t>
        </is>
      </c>
      <c r="K6" s="21" t="inlineStr">
        <is>
          <t>4. Registrá tus gastos →💸</t>
        </is>
      </c>
      <c r="N6" s="21" t="inlineStr">
        <is>
          <t>5. Mirá tu rentabilidad →🏠</t>
        </is>
      </c>
    </row>
    <row r="7">
      <c r="B7" s="22">
        <f>IF(AND(Cfg_NombreNegocio&lt;&gt;"",Cfg_Moneda&lt;&gt;""),"✅","⬜")</f>
        <v/>
      </c>
      <c r="E7" s="22">
        <f>IF(COUNTA(tbl_Productos[Producto])&gt;0,"✅","⬜")</f>
        <v/>
      </c>
      <c r="H7" s="22">
        <f>IF(COUNTA(tbl_Ventas[Fecha])&gt;0,"✅","⬜")</f>
        <v/>
      </c>
      <c r="K7" s="22">
        <f>IF(COUNTA(tbl_Gastos[Fecha])&gt;0,"✅","⬜")</f>
        <v/>
      </c>
      <c r="N7" s="22">
        <f>IF(AND(COUNTA(tbl_Productos[Producto])&gt;0,COUNTA(tbl_Ventas[Fecha])&gt;0),"✅","⬜")</f>
        <v/>
      </c>
    </row>
    <row r="10">
      <c r="B10" s="19" t="inlineStr">
        <is>
          <t>Tu negocio</t>
        </is>
      </c>
    </row>
    <row r="11">
      <c r="B11" s="23" t="inlineStr">
        <is>
          <t>Nombre del negocio</t>
        </is>
      </c>
      <c r="C11" s="24" t="inlineStr">
        <is>
          <t>Mi Negocio</t>
        </is>
      </c>
    </row>
    <row r="12">
      <c r="B12" s="23" t="inlineStr">
        <is>
          <t>Tipo de negocio</t>
        </is>
      </c>
      <c r="C12" s="24" t="inlineStr"/>
    </row>
    <row r="13">
      <c r="B13" s="23" t="inlineStr">
        <is>
          <t>Moneda</t>
        </is>
      </c>
      <c r="C13" s="24" t="inlineStr">
        <is>
          <t>$</t>
        </is>
      </c>
    </row>
    <row r="15">
      <c r="B15" s="19" t="inlineStr">
        <is>
          <t>Categorías de productos</t>
        </is>
      </c>
    </row>
    <row r="16">
      <c r="B16" s="25" t="inlineStr">
        <is>
          <t>(Se cargan en 📦 Productos como lista desplegable — editá la lista base en la hoja _Listas.)</t>
        </is>
      </c>
    </row>
    <row r="18">
      <c r="B18" s="19" t="inlineStr">
        <is>
          <t>Canales de venta</t>
        </is>
      </c>
    </row>
    <row r="19">
      <c r="B19" s="25" t="inlineStr">
        <is>
          <t>(Se cargan en 🛒 Ventas como lista desplegable — editá la lista base en la hoja _Listas.)</t>
        </is>
      </c>
    </row>
    <row r="21">
      <c r="B21" s="26" t="inlineStr">
        <is>
          <t>💡 Cargá tus gastos fijos (alquiler, herramientas, suscripciones) en 💸 Gastos para que tu Ganancia real sea precisa.</t>
        </is>
      </c>
    </row>
    <row r="23">
      <c r="B23" s="19" t="inlineStr">
        <is>
          <t>Objetivo mensual</t>
        </is>
      </c>
    </row>
    <row r="24">
      <c r="B24" s="23" t="inlineStr">
        <is>
          <t>¿Cuánto querés ganar por mes?</t>
        </is>
      </c>
      <c r="C24" s="27" t="n">
        <v>0</v>
      </c>
    </row>
    <row r="26">
      <c r="B26" s="28" t="inlineStr">
        <is>
          <t>No hay botón "Guardar" — todo se guarda automáticamente a medida que escribís, como en cualquier planilla.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22">
    <mergeCell ref="B7:C7"/>
    <mergeCell ref="D1:E1"/>
    <mergeCell ref="N7:O7"/>
    <mergeCell ref="H1:I1"/>
    <mergeCell ref="J1:K1"/>
    <mergeCell ref="Q1:S1"/>
    <mergeCell ref="H6:I6"/>
    <mergeCell ref="B1:C1"/>
    <mergeCell ref="N1:O1"/>
    <mergeCell ref="E6:F6"/>
    <mergeCell ref="H7:I7"/>
    <mergeCell ref="L1:M1"/>
    <mergeCell ref="B4:P4"/>
    <mergeCell ref="B26:P26"/>
    <mergeCell ref="B6:C6"/>
    <mergeCell ref="K7:L7"/>
    <mergeCell ref="E7:F7"/>
    <mergeCell ref="N6:O6"/>
    <mergeCell ref="B3:P3"/>
    <mergeCell ref="K6:L6"/>
    <mergeCell ref="F1:G1"/>
    <mergeCell ref="B21:P21"/>
  </mergeCells>
  <dataValidations count="2">
    <dataValidation sqref="C13" showDropDown="0" showInputMessage="0" showErrorMessage="0" allowBlank="1" type="list">
      <formula1>=Lst_Monedas</formula1>
    </dataValidation>
    <dataValidation sqref="C24" showDropDown="0" showInputMessage="0" showErrorMessage="1" allowBlank="1" errorTitle="Valor inválido" error="Ingresá un número mayor o igual a 0." type="decimal" operator="greaterThanOrEqual">
      <formula1>0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F1" r:id="rId2"/>
    <hyperlink xmlns:r="http://schemas.openxmlformats.org/officeDocument/2006/relationships" ref="H1" r:id="rId3"/>
    <hyperlink xmlns:r="http://schemas.openxmlformats.org/officeDocument/2006/relationships" ref="J1" r:id="rId4"/>
    <hyperlink xmlns:r="http://schemas.openxmlformats.org/officeDocument/2006/relationships" ref="L1" r:id="rId5"/>
    <hyperlink xmlns:r="http://schemas.openxmlformats.org/officeDocument/2006/relationships" ref="N1" r:id="rId6"/>
    <hyperlink xmlns:r="http://schemas.openxmlformats.org/officeDocument/2006/relationships" ref="E6" r:id="rId7"/>
    <hyperlink xmlns:r="http://schemas.openxmlformats.org/officeDocument/2006/relationships" ref="H6" r:id="rId8"/>
    <hyperlink xmlns:r="http://schemas.openxmlformats.org/officeDocument/2006/relationships" ref="K6" r:id="rId9"/>
    <hyperlink xmlns:r="http://schemas.openxmlformats.org/officeDocument/2006/relationships" ref="N6" r:id="rId10"/>
    <hyperlink xmlns:r="http://schemas.openxmlformats.org/officeDocument/2006/relationships" ref="B21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S15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6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📦 PRODUCTOS</t>
        </is>
      </c>
    </row>
    <row r="4" ht="16" customHeight="1">
      <c r="B4" s="10" t="inlineStr">
        <is>
          <t>Tu catálogo de productos y cuánto te deja ganar cada uno.</t>
        </is>
      </c>
    </row>
    <row r="5" ht="6" customHeight="1"/>
    <row r="6" ht="18" customHeight="1">
      <c r="B6" s="19" t="inlineStr">
        <is>
          <t>Tus productos, en números</t>
        </is>
      </c>
    </row>
    <row r="7" ht="18" customHeight="1">
      <c r="B7" s="29" t="inlineStr">
        <is>
          <t>🏆 Más rentable</t>
        </is>
      </c>
      <c r="F7" s="29" t="inlineStr">
        <is>
          <t>🔥 Más vendido</t>
        </is>
      </c>
      <c r="J7" s="29" t="inlineStr">
        <is>
          <t>💰 Más dinero genera</t>
        </is>
      </c>
      <c r="N7" s="29" t="inlineStr">
        <is>
          <t>⚠️ Margen bajo</t>
        </is>
      </c>
    </row>
    <row r="8" ht="18" customHeight="1">
      <c r="B8" s="30">
        <f>IF(COUNTIFS(tbl_Productos[Unidades vendidas],"&gt;0")=0,Txt_SinVentas,INDEX(tbl_Productos[Producto],MATCH(_xlfn.MAXIFS(tbl_Productos[Margen],tbl_Productos[Unidades vendidas],"&gt;0"),tbl_Productos[Margen],0)))</f>
        <v/>
      </c>
      <c r="F8" s="30">
        <f>IF(COUNTA(tbl_Productos[Producto])=0,Txt_SinProductos,IF(MAX(tbl_Productos[Unidades vendidas])=0,Txt_SinVentas,INDEX(tbl_Productos[Producto],MATCH(MAX(tbl_Productos[Unidades vendidas]),tbl_Productos[Unidades vendidas],0))))</f>
        <v/>
      </c>
      <c r="J8" s="30">
        <f>IF(COUNTA(tbl_Productos[Producto])=0,Txt_SinProductos,IF(MAX(tbl_Productos[Ganancia total])&lt;=0,Txt_SinVentas,INDEX(tbl_Productos[Producto],MATCH(MAX(tbl_Productos[Ganancia total]),tbl_Productos[Ganancia total],0))))</f>
        <v/>
      </c>
      <c r="N8" s="30">
        <f>IFERROR(INDEX(tbl_Productos[Producto],MATCH(1,tbl_Productos[Alerta margen bajo],0)),Txt_SinAlertas)</f>
        <v/>
      </c>
    </row>
    <row r="9" ht="18" customHeight="1">
      <c r="B9" s="31">
        <f>IFERROR(_xlfn.MAXIFS(tbl_Productos[Margen],tbl_Productos[Unidades vendidas],"&gt;0"),"")</f>
        <v/>
      </c>
      <c r="F9" s="32">
        <f>IF(OR(COUNTA(tbl_Productos[Producto])=0,MAX(tbl_Productos[Unidades vendidas])=0),"",MAX(tbl_Productos[Unidades vendidas])&amp;" unidades")</f>
        <v/>
      </c>
      <c r="J9" s="33">
        <f>IF(OR(COUNTA(tbl_Productos[Producto])=0,MAX(tbl_Productos[Ganancia total])&lt;=0),"",MAX(tbl_Productos[Ganancia total]))</f>
        <v/>
      </c>
      <c r="N9" s="31">
        <f>IFERROR(INDEX(tbl_Productos[Margen],MATCH(1,tbl_Productos[Alerta margen bajo],0)),"")</f>
        <v/>
      </c>
    </row>
    <row r="11" ht="16" customHeight="1">
      <c r="B11" s="34" t="inlineStr">
        <is>
          <t>⬜ Vos cargás esto    ·    🔸 Profitly lo completa (lo podés cambiar)    ·    🔒 Profitly lo calculó</t>
        </is>
      </c>
    </row>
    <row r="12">
      <c r="B12" s="35" t="inlineStr">
        <is>
          <t>Producto</t>
        </is>
      </c>
      <c r="C12" s="35" t="inlineStr">
        <is>
          <t>Categoría</t>
        </is>
      </c>
      <c r="D12" s="35" t="inlineStr">
        <is>
          <t>Precio de venta</t>
        </is>
      </c>
      <c r="E12" s="35" t="inlineStr">
        <is>
          <t>Costo del producto</t>
        </is>
      </c>
      <c r="F12" s="35" t="inlineStr">
        <is>
          <t>Comisión %</t>
        </is>
      </c>
      <c r="G12" s="35" t="inlineStr">
        <is>
          <t>Packaging</t>
        </is>
      </c>
      <c r="H12" s="35" t="inlineStr">
        <is>
          <t>Envío / costo asociado</t>
        </is>
      </c>
      <c r="I12" s="35" t="inlineStr">
        <is>
          <t>Publicidad atribuida</t>
        </is>
      </c>
      <c r="J12" s="35" t="inlineStr">
        <is>
          <t>Otros costos</t>
        </is>
      </c>
      <c r="K12" s="35" t="inlineStr">
        <is>
          <t>Costo real de venta</t>
        </is>
      </c>
      <c r="L12" s="35" t="inlineStr">
        <is>
          <t>Ganancia por unidad</t>
        </is>
      </c>
      <c r="M12" s="35" t="inlineStr">
        <is>
          <t>Margen</t>
        </is>
      </c>
      <c r="N12" s="35" t="inlineStr">
        <is>
          <t>Unidades vendidas</t>
        </is>
      </c>
      <c r="O12" s="35" t="inlineStr">
        <is>
          <t>Ganancia total</t>
        </is>
      </c>
      <c r="P12" s="35" t="inlineStr">
        <is>
          <t>Alerta margen bajo</t>
        </is>
      </c>
    </row>
    <row r="13">
      <c r="B13" s="36" t="n"/>
      <c r="C13" s="36" t="n"/>
      <c r="D13" s="37" t="n"/>
      <c r="E13" s="37" t="n"/>
      <c r="F13" s="38" t="n"/>
      <c r="G13" s="37" t="n"/>
      <c r="H13" s="37" t="n"/>
      <c r="I13" s="37" t="n"/>
      <c r="J13" s="37" t="n"/>
      <c r="K13" s="39">
        <f>E13+(D13*F13)+G13+H13+I13+J13</f>
        <v/>
      </c>
      <c r="L13" s="39">
        <f>D13-K13</f>
        <v/>
      </c>
      <c r="M13" s="40">
        <f>IF(D13=0,Txt_SinDatos,L13/D13)</f>
        <v/>
      </c>
      <c r="N13" s="41">
        <f>SUMIFS(tbl_Ventas[Cantidad],tbl_Ventas[Producto],B13)</f>
        <v/>
      </c>
      <c r="O13" s="39">
        <f>SUMIFS(tbl_Ventas[Ganancia],tbl_Ventas[Producto],B13)</f>
        <v/>
      </c>
      <c r="P13" s="42">
        <f>IF(AND(ISNUMBER(M13),M13&lt;Cfg_MargenAlertaUmbral,N13&gt;0),1,0)</f>
        <v/>
      </c>
    </row>
    <row r="15">
      <c r="B15" s="43">
        <f>IF(COUNTA(tbl_Productos[Producto])=0,"Todavía no tenés productos cargados. Agregá el primero para empezar 👇","")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24">
    <mergeCell ref="B11:P11"/>
    <mergeCell ref="D1:E1"/>
    <mergeCell ref="B8:D8"/>
    <mergeCell ref="H1:I1"/>
    <mergeCell ref="J1:K1"/>
    <mergeCell ref="F8:H8"/>
    <mergeCell ref="N8:P8"/>
    <mergeCell ref="Q1:S1"/>
    <mergeCell ref="J7:L7"/>
    <mergeCell ref="B9:D9"/>
    <mergeCell ref="N9:P9"/>
    <mergeCell ref="F9:H9"/>
    <mergeCell ref="B1:C1"/>
    <mergeCell ref="N1:O1"/>
    <mergeCell ref="B15:P15"/>
    <mergeCell ref="L1:M1"/>
    <mergeCell ref="J8:L8"/>
    <mergeCell ref="B4:P4"/>
    <mergeCell ref="B7:D7"/>
    <mergeCell ref="N7:P7"/>
    <mergeCell ref="B3:P3"/>
    <mergeCell ref="F7:H7"/>
    <mergeCell ref="J9:L9"/>
    <mergeCell ref="F1:G1"/>
  </mergeCells>
  <dataValidations count="11">
    <dataValidation sqref="B7" showDropDown="0" showInputMessage="1" showErrorMessage="0" allowBlank="0" promptTitle="Más rentable" prompt="El producto con mejor margen entre los que ya vendiste."/>
    <dataValidation sqref="F7" showDropDown="0" showInputMessage="1" showErrorMessage="0" allowBlank="0" promptTitle="Más vendido" prompt="El producto que más unidades vendiste. No es necesariamente el que más ganancia te deja — mirá &quot;Más rentable&quot; para eso."/>
    <dataValidation sqref="F12" showDropDown="0" showInputMessage="1" showErrorMessage="0" allowBlank="0" promptTitle="Comisión %" prompt="Se completa solo cuando elegís un producto — lo podés cambiar."/>
    <dataValidation sqref="D13" showDropDown="0" showInputMessage="0" showErrorMessage="1" allowBlank="1" errorTitle="Valor inválido" error="Ingresá un número mayor o igual a 0." type="decimal" operator="greaterThanOrEqual">
      <formula1>0</formula1>
    </dataValidation>
    <dataValidation sqref="E13" showDropDown="0" showInputMessage="0" showErrorMessage="1" allowBlank="1" errorTitle="Valor inválido" error="Ingresá un número mayor o igual a 0." type="decimal" operator="greaterThanOrEqual">
      <formula1>0</formula1>
    </dataValidation>
    <dataValidation sqref="G13" showDropDown="0" showInputMessage="0" showErrorMessage="1" allowBlank="1" errorTitle="Valor inválido" error="Ingresá un número mayor o igual a 0." type="decimal" operator="greaterThanOrEqual">
      <formula1>0</formula1>
    </dataValidation>
    <dataValidation sqref="H13" showDropDown="0" showInputMessage="0" showErrorMessage="1" allowBlank="1" errorTitle="Valor inválido" error="Ingresá un número mayor o igual a 0." type="decimal" operator="greaterThanOrEqual">
      <formula1>0</formula1>
    </dataValidation>
    <dataValidation sqref="I13" showDropDown="0" showInputMessage="0" showErrorMessage="1" allowBlank="1" errorTitle="Valor inválido" error="Ingresá un número mayor o igual a 0." type="decimal" operator="greaterThanOrEqual">
      <formula1>0</formula1>
    </dataValidation>
    <dataValidation sqref="J13" showDropDown="0" showInputMessage="0" showErrorMessage="1" allowBlank="1" errorTitle="Valor inválido" error="Ingresá un número mayor o igual a 0." type="decimal" operator="greaterThanOrEqual">
      <formula1>0</formula1>
    </dataValidation>
    <dataValidation sqref="F13" showDropDown="0" showInputMessage="0" showErrorMessage="1" allowBlank="1" errorTitle="Valor inválido" error="Ingresá un porcentaje entre 0% y 100%." type="decimal" operator="between">
      <formula1>0</formula1>
      <formula2>1</formula2>
    </dataValidation>
    <dataValidation sqref="B13" showDropDown="0" showInputMessage="0" showErrorMessage="1" allowBlank="1" errorTitle="Nombre duplicado" error="Ya existe un producto con este nombre. Elegí un nombre distinto para diferenciarlo." type="custom">
      <formula1>=COUNTIF(tbl_Productos[Producto],B13)&lt;=1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H1" r:id="rId3"/>
    <hyperlink xmlns:r="http://schemas.openxmlformats.org/officeDocument/2006/relationships" ref="J1" r:id="rId4"/>
    <hyperlink xmlns:r="http://schemas.openxmlformats.org/officeDocument/2006/relationships" ref="L1" r:id="rId5"/>
    <hyperlink xmlns:r="http://schemas.openxmlformats.org/officeDocument/2006/relationships" ref="N1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6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🛒 VENTAS</t>
        </is>
      </c>
    </row>
    <row r="4" ht="16" customHeight="1">
      <c r="B4" s="10" t="inlineStr">
        <is>
          <t>Registrá tus ventas — Profitly calcula el resto.</t>
        </is>
      </c>
    </row>
    <row r="5" ht="6" customHeight="1"/>
    <row r="6">
      <c r="B6" s="44">
        <f>"Ventas este mes: "&amp;COUNTIFS(tbl_Ventas[Fecha],"&gt;="&amp;Cfg_PeriodoInicio,tbl_Ventas[Fecha],"&lt;="&amp;Cfg_PeriodoFin)&amp;" registros"</f>
        <v/>
      </c>
      <c r="G6" s="44">
        <f>IF(COUNTA(tbl_Ventas[Fecha])=0,"Última venta: —","Última venta: "&amp;TEXT(MAX(tbl_Ventas[Fecha]),"DD/MM/YYYY"))</f>
        <v/>
      </c>
    </row>
    <row r="7">
      <c r="B7" s="26">
        <f>IF(COUNTA(tbl_Productos[Producto])=0,"Necesitás cargar al menos un producto antes de registrar ventas. → Ir a 📦 Productos","")</f>
        <v/>
      </c>
    </row>
    <row r="8" ht="16" customHeight="1">
      <c r="B8" s="34" t="inlineStr">
        <is>
          <t>⬜ Vos cargás esto    ·    🔸 Profitly lo completa (lo podés cambiar)    ·    🔒 Profitly lo calculó</t>
        </is>
      </c>
    </row>
    <row r="9">
      <c r="B9" s="35" t="inlineStr">
        <is>
          <t>Fecha</t>
        </is>
      </c>
      <c r="C9" s="35" t="inlineStr">
        <is>
          <t>Producto</t>
        </is>
      </c>
      <c r="D9" s="35" t="inlineStr">
        <is>
          <t>Cantidad</t>
        </is>
      </c>
      <c r="E9" s="35" t="inlineStr">
        <is>
          <t>Precio de venta</t>
        </is>
      </c>
      <c r="F9" s="35" t="inlineStr">
        <is>
          <t>Canal</t>
        </is>
      </c>
      <c r="G9" s="35" t="inlineStr">
        <is>
          <t>Comisión %</t>
        </is>
      </c>
      <c r="H9" s="35" t="inlineStr">
        <is>
          <t>Descuento</t>
        </is>
      </c>
      <c r="I9" s="35" t="inlineStr">
        <is>
          <t>Otros costos</t>
        </is>
      </c>
      <c r="J9" s="35" t="inlineStr">
        <is>
          <t>Venta total</t>
        </is>
      </c>
      <c r="K9" s="35" t="inlineStr">
        <is>
          <t>Costo total de la venta</t>
        </is>
      </c>
      <c r="L9" s="35" t="inlineStr">
        <is>
          <t>Ganancia</t>
        </is>
      </c>
    </row>
    <row r="10">
      <c r="B10" s="45" t="n"/>
      <c r="C10" s="36" t="n"/>
      <c r="D10" s="46" t="n"/>
      <c r="E10" s="47">
        <f>IFERROR(INDEX(tbl_Productos[Precio de venta],MATCH(C10,tbl_Productos[Producto],0)),"")</f>
        <v/>
      </c>
      <c r="F10" s="36" t="n"/>
      <c r="G10" s="48">
        <f>IFERROR(INDEX(tbl_Productos[Comisión %],MATCH(C10,tbl_Productos[Producto],0)),"")</f>
        <v/>
      </c>
      <c r="H10" s="37" t="n"/>
      <c r="I10" s="37" t="n"/>
      <c r="J10" s="39">
        <f>IF(C10="","",(D10*E10)-H10)</f>
        <v/>
      </c>
      <c r="K10" s="39">
        <f>IF(C10="","",IFERROR(INDEX(tbl_Productos[Costo real de venta],MATCH(C10,tbl_Productos[Producto],0))*D10,Txt_ProductoNoEncontrado))</f>
        <v/>
      </c>
      <c r="L10" s="39">
        <f>IF(C10="","",IFERROR(J10-K10-I10,Txt_ProductoNoEncontrado))</f>
        <v/>
      </c>
    </row>
    <row r="12">
      <c r="B12" s="43">
        <f>IF(AND(COUNTA(tbl_Productos[Producto])&gt;0,COUNTA(tbl_Ventas[Fecha])=0),"Registrá tu primera venta para empezar a ver tu rentabilidad 👇","")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13">
    <mergeCell ref="B7:P7"/>
    <mergeCell ref="N1:O1"/>
    <mergeCell ref="B12:P12"/>
    <mergeCell ref="D1:E1"/>
    <mergeCell ref="B3:P3"/>
    <mergeCell ref="H1:I1"/>
    <mergeCell ref="L1:M1"/>
    <mergeCell ref="J1:K1"/>
    <mergeCell ref="B8:P8"/>
    <mergeCell ref="B4:P4"/>
    <mergeCell ref="B1:C1"/>
    <mergeCell ref="Q1:S1"/>
    <mergeCell ref="F1:G1"/>
  </mergeCells>
  <dataValidations count="8">
    <dataValidation sqref="E9" showDropDown="0" showInputMessage="1" showErrorMessage="0" allowBlank="0" promptTitle="Precio de venta" prompt="Se completa solo cuando elegís un producto — lo podés cambiar."/>
    <dataValidation sqref="G9" showDropDown="0" showInputMessage="1" showErrorMessage="0" allowBlank="0" promptTitle="Comisión %" prompt="Se completa solo cuando elegís un producto — lo podés cambiar."/>
    <dataValidation sqref="C10" showDropDown="0" showInputMessage="0" showErrorMessage="1" allowBlank="1" errorTitle="Producto inválido" error="Elegí un producto de tu catálogo." type="list">
      <formula1>=tbl_Productos[Producto]</formula1>
    </dataValidation>
    <dataValidation sqref="F10" showDropDown="0" showInputMessage="0" showErrorMessage="1" allowBlank="1" errorTitle="Canal inválido" error="Elegí un canal de la lista." type="list">
      <formula1>=Lst_Canales</formula1>
    </dataValidation>
    <dataValidation sqref="B10" showDropDown="0" showInputMessage="0" showErrorMessage="1" allowBlank="1" errorTitle="Fecha inválida" error="La fecha no puede ser futura." type="date" operator="lessThanOrEqual">
      <formula1>TODAY()</formula1>
    </dataValidation>
    <dataValidation sqref="D10" showDropDown="0" showInputMessage="0" showErrorMessage="1" allowBlank="1" errorTitle="Valor inválido" error="Ingresá una cantidad de al menos 1." type="whole" operator="greaterThanOrEqual">
      <formula1>1</formula1>
    </dataValidation>
    <dataValidation sqref="H10" showDropDown="0" showInputMessage="0" showErrorMessage="1" allowBlank="1" errorTitle="Valor inválido" error="Ingresá un número mayor o igual a 0." type="decimal" operator="greaterThanOrEqual">
      <formula1>0</formula1>
    </dataValidation>
    <dataValidation sqref="I10" showDropDown="0" showInputMessage="0" showErrorMessage="1" allowBlank="1" errorTitle="Valor inválido" error="Ingresá un número mayor o igual a 0." type="decimal" operator="greaterThanOrEqual">
      <formula1>0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J1" r:id="rId4"/>
    <hyperlink xmlns:r="http://schemas.openxmlformats.org/officeDocument/2006/relationships" ref="L1" r:id="rId5"/>
    <hyperlink xmlns:r="http://schemas.openxmlformats.org/officeDocument/2006/relationships" ref="N1" r:id="rId6"/>
    <hyperlink xmlns:r="http://schemas.openxmlformats.org/officeDocument/2006/relationships" ref="B7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S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6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💸 GASTOS</t>
        </is>
      </c>
    </row>
    <row r="4" ht="16" customHeight="1">
      <c r="B4" s="10" t="inlineStr">
        <is>
          <t>Los gastos generales de tu negocio, separados de los costos de cada venta.</t>
        </is>
      </c>
    </row>
    <row r="5" ht="6" customHeight="1"/>
    <row r="6">
      <c r="B6" s="26" t="inlineStr">
        <is>
          <t>ⓘ Acá cargás los gastos generales de tu negocio (alquiler, software, herramientas). Los costos de cada venta — comisión, envío, packaging, publicidad — se cargan en 📦 Productos.</t>
        </is>
      </c>
    </row>
    <row r="7">
      <c r="B7" s="44">
        <f>"Gastos del negocio este mes: "&amp;TEXT(SUMIFS(tbl_Gastos[Importe],tbl_Gastos[Fecha],"&gt;="&amp;Cfg_PeriodoInicio,tbl_Gastos[Fecha],"&lt;="&amp;Cfg_PeriodoFin),Cfg_Moneda&amp;"#,##0")</f>
        <v/>
      </c>
    </row>
    <row r="9">
      <c r="B9" s="35" t="inlineStr">
        <is>
          <t>Fecha</t>
        </is>
      </c>
      <c r="C9" s="35" t="inlineStr">
        <is>
          <t>Categoría</t>
        </is>
      </c>
      <c r="D9" s="35" t="inlineStr">
        <is>
          <t>Descripción</t>
        </is>
      </c>
      <c r="E9" s="35" t="inlineStr">
        <is>
          <t>Importe</t>
        </is>
      </c>
      <c r="F9" s="35" t="inlineStr">
        <is>
          <t>Tipo de gasto</t>
        </is>
      </c>
    </row>
    <row r="10">
      <c r="B10" s="45" t="n"/>
      <c r="C10" s="36" t="n"/>
      <c r="D10" s="36" t="n"/>
      <c r="E10" s="37" t="n"/>
      <c r="F10" s="36" t="n"/>
    </row>
    <row r="12">
      <c r="B12" s="43">
        <f>IF(COUNTA(tbl_Gastos[Fecha])=0,"Todavía no cargaste gastos del negocio. Si por ahora no tenés, tu Ganancia real usa $0 — podés agregar gastos en cualquier momento.","")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12">
    <mergeCell ref="B6:P6"/>
    <mergeCell ref="N1:O1"/>
    <mergeCell ref="B12:P12"/>
    <mergeCell ref="D1:E1"/>
    <mergeCell ref="B3:P3"/>
    <mergeCell ref="H1:I1"/>
    <mergeCell ref="L1:M1"/>
    <mergeCell ref="J1:K1"/>
    <mergeCell ref="B4:P4"/>
    <mergeCell ref="B1:C1"/>
    <mergeCell ref="Q1:S1"/>
    <mergeCell ref="F1:G1"/>
  </mergeCells>
  <dataValidations count="4">
    <dataValidation sqref="C10" showDropDown="0" showInputMessage="0" showErrorMessage="0" allowBlank="1" type="list">
      <formula1>=Lst_CategoriasGasto</formula1>
    </dataValidation>
    <dataValidation sqref="F10" showDropDown="0" showInputMessage="0" showErrorMessage="0" allowBlank="1" type="list">
      <formula1>=Lst_TiposGasto</formula1>
    </dataValidation>
    <dataValidation sqref="B10" showDropDown="0" showInputMessage="0" showErrorMessage="1" allowBlank="1" errorTitle="Fecha inválida" error="La fecha no puede ser futura." type="date" operator="lessThanOrEqual">
      <formula1>TODAY()</formula1>
    </dataValidation>
    <dataValidation sqref="E10" showDropDown="0" showInputMessage="0" showErrorMessage="1" allowBlank="1" errorTitle="Valor inválido" error="Ingresá un número mayor o igual a 0." type="decimal" operator="greaterThanOrEqual">
      <formula1>0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H1" r:id="rId4"/>
    <hyperlink xmlns:r="http://schemas.openxmlformats.org/officeDocument/2006/relationships" ref="L1" r:id="rId5"/>
    <hyperlink xmlns:r="http://schemas.openxmlformats.org/officeDocument/2006/relationships" ref="N1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S1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6" t="inlineStr">
        <is>
          <t>🎯 Objetivos</t>
        </is>
      </c>
      <c r="N1" s="7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🎯 OBJETIVOS</t>
        </is>
      </c>
    </row>
    <row r="4" ht="16" customHeight="1">
      <c r="B4" s="10" t="inlineStr">
        <is>
          <t>Cuánto querés ganar, y qué te falta para lograrlo.</t>
        </is>
      </c>
    </row>
    <row r="5" ht="6" customHeight="1"/>
    <row r="6">
      <c r="B6" s="35" t="inlineStr">
        <is>
          <t>Periodo (Mes-Año)</t>
        </is>
      </c>
      <c r="C6" s="35" t="inlineStr">
        <is>
          <t>Objetivo de ganancia</t>
        </is>
      </c>
      <c r="F6" s="19" t="inlineStr">
        <is>
          <t>Progreso hacia tu objetivo</t>
        </is>
      </c>
    </row>
    <row r="7">
      <c r="B7" s="49" t="n"/>
      <c r="C7" s="37">
        <f>Cfg_ObjetivoMensualDefault</f>
        <v/>
      </c>
      <c r="F7" s="50">
        <f>IF(Obj_GananciaObjetivo&lt;=0,Txt_ObjetivoInvalido,TEXT(Obj_ProgresoPct,"0%")&amp;"  ·  "&amp;TEXT(Obj_GananciaActual,Cfg_Moneda&amp;"#,##0")&amp;" de "&amp;TEXT(Obj_GananciaObjetivo,Cfg_Moneda&amp;"#,##0"))</f>
        <v/>
      </c>
    </row>
    <row r="9">
      <c r="B9" s="51">
        <f>IF(AND(Cfg_ObjetivoMensualDefault=0,COUNTA(tbl_Objetivos[Objetivo de ganancia])&lt;=1),"Todavía no definiste un objetivo. ¿Cuánto querés ganar este mes?","")</f>
        <v/>
      </c>
      <c r="F9" s="44" t="inlineStr">
        <is>
          <t>Ganancia objetivo</t>
        </is>
      </c>
      <c r="H9" s="52">
        <f>Obj_GananciaObjetivo</f>
        <v/>
      </c>
    </row>
    <row r="10">
      <c r="F10" s="44" t="inlineStr">
        <is>
          <t>Ganancia actual</t>
        </is>
      </c>
      <c r="H10" s="52">
        <f>Obj_GananciaActual</f>
        <v/>
      </c>
    </row>
    <row r="11">
      <c r="F11" s="44" t="inlineStr">
        <is>
          <t>Restante</t>
        </is>
      </c>
      <c r="H11" s="52">
        <f>Obj_Restante</f>
        <v/>
      </c>
    </row>
    <row r="12">
      <c r="F12" s="44" t="inlineStr">
        <is>
          <t>Ganancia diaria necesaria</t>
        </is>
      </c>
      <c r="H12" s="52">
        <f>Obj_GananciaDiariaNecesaria</f>
        <v/>
      </c>
    </row>
    <row r="13">
      <c r="F13" s="44" t="inlineStr">
        <is>
          <t>Facturación necesaria</t>
        </is>
      </c>
      <c r="H13" s="52">
        <f>Obj_FacturacionNecesaria</f>
        <v/>
      </c>
    </row>
    <row r="14">
      <c r="F14" s="44" t="inlineStr">
        <is>
          <t>Ventas necesarias</t>
        </is>
      </c>
      <c r="H14" s="53">
        <f>Obj_VentasNecesarias</f>
        <v/>
      </c>
    </row>
    <row r="16">
      <c r="F16" s="54">
        <f>Obj_Factibilidad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13">
    <mergeCell ref="N1:O1"/>
    <mergeCell ref="D1:E1"/>
    <mergeCell ref="F7:I7"/>
    <mergeCell ref="B3:P3"/>
    <mergeCell ref="H1:I1"/>
    <mergeCell ref="L1:M1"/>
    <mergeCell ref="J1:K1"/>
    <mergeCell ref="F16:I16"/>
    <mergeCell ref="B4:P4"/>
    <mergeCell ref="B9:C9"/>
    <mergeCell ref="B1:C1"/>
    <mergeCell ref="Q1:S1"/>
    <mergeCell ref="F1:G1"/>
  </mergeCells>
  <conditionalFormatting sqref="F7:I7">
    <cfRule type="dataBar" priority="1">
      <dataBar showValue="0">
        <cfvo type="num" val="0"/>
        <cfvo type="num" val="1"/>
        <color rgb="001E8E5A"/>
      </dataBar>
    </cfRule>
  </conditionalFormatting>
  <dataValidations count="6">
    <dataValidation sqref="F11" showDropDown="0" showInputMessage="1" showErrorMessage="0" allowBlank="0" promptTitle="Restante" prompt="Lo que te falta ganar este mes para llegar a tu objetivo."/>
    <dataValidation sqref="F12" showDropDown="0" showInputMessage="1" showErrorMessage="0" allowBlank="0" promptTitle="Ganancia diaria necesaria" prompt="Cuánto necesitás ganar, en promedio, cada día que queda del mes."/>
    <dataValidation sqref="F13" showDropDown="0" showInputMessage="1" showErrorMessage="0" allowBlank="0" promptTitle="Facturación necesaria" prompt="Cuánto necesitás vender (no ganar) para llegar a tu objetivo, según tu margen actual."/>
    <dataValidation sqref="F14" showDropDown="0" showInputMessage="1" showErrorMessage="0" allowBlank="0" promptTitle="Ventas necesarias" prompt="Cuántas ventas necesitás, según tu ticket promedio, para llegar a esa facturación."/>
    <dataValidation sqref="B7" showDropDown="0" showInputMessage="0" showErrorMessage="1" allowBlank="1" errorTitle="Período inválido" error="Elegí el primer día del mes que querés planificar." type="custom">
      <formula1>=DAY(B7)=1</formula1>
    </dataValidation>
    <dataValidation sqref="B7" showDropDown="0" showInputMessage="0" showErrorMessage="1" allowBlank="1" errorTitle="Período duplicado" error="Ya definiste un objetivo para este mes — editá la fila existente." type="custom">
      <formula1>=COUNTIF(tbl_Objetivos[Periodo (Mes-Año)],B7)&lt;=1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H1" r:id="rId4"/>
    <hyperlink xmlns:r="http://schemas.openxmlformats.org/officeDocument/2006/relationships" ref="J1" r:id="rId5"/>
    <hyperlink xmlns:r="http://schemas.openxmlformats.org/officeDocument/2006/relationships" ref="N1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S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5" customWidth="1" min="4" max="4"/>
    <col width="15" customWidth="1" min="5" max="5"/>
    <col hidden="1" outlineLevel="1" width="15" customWidth="1" min="6" max="12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6" t="inlineStr">
        <is>
          <t>🔬 Simulador</t>
        </is>
      </c>
      <c r="Q1" s="8">
        <f>"Mi Negocio · "&amp;Cfg_NombreNegocio</f>
        <v/>
      </c>
    </row>
    <row r="2" ht="6" customHeight="1"/>
    <row r="3" ht="26" customHeight="1">
      <c r="B3" s="9" t="inlineStr">
        <is>
          <t>🔬 ¿QUÉ PASARÍA SI...?</t>
        </is>
      </c>
    </row>
    <row r="4" ht="16" customHeight="1">
      <c r="B4" s="10" t="inlineStr">
        <is>
          <t>Probá una decisión sin tocar tus datos reales.</t>
        </is>
      </c>
    </row>
    <row r="5" ht="6" customHeight="1"/>
    <row r="6">
      <c r="B6" s="55">
        <f>IF(NOT(Sim_DatosSuficientes),"Necesitás cargar ventas reales antes de simular escenarios. → Ir a 🛒 Ventas","")</f>
        <v/>
      </c>
    </row>
    <row r="7">
      <c r="B7" s="19" t="inlineStr">
        <is>
          <t>ESCENARIO ACTUAL</t>
        </is>
      </c>
    </row>
    <row r="8">
      <c r="B8" s="56" t="inlineStr">
        <is>
          <t>Ventas</t>
        </is>
      </c>
      <c r="D8" s="57">
        <f>Sim_Base_Ventas</f>
        <v/>
      </c>
    </row>
    <row r="9">
      <c r="B9" s="56" t="inlineStr">
        <is>
          <t>Costos de venta</t>
        </is>
      </c>
      <c r="D9" s="57">
        <f>Sim_Base_CostosVenta</f>
        <v/>
      </c>
    </row>
    <row r="10">
      <c r="B10" s="56" t="inlineStr">
        <is>
          <t>Ganancia de productos</t>
        </is>
      </c>
      <c r="D10" s="57">
        <f>Sim_Base_GananciaProductos</f>
        <v/>
      </c>
    </row>
    <row r="11">
      <c r="B11" s="56" t="inlineStr">
        <is>
          <t>Gastos</t>
        </is>
      </c>
      <c r="D11" s="57">
        <f>Sim_Base_Gastos</f>
        <v/>
      </c>
    </row>
    <row r="12">
      <c r="B12" s="56" t="inlineStr">
        <is>
          <t>Ganancia real</t>
        </is>
      </c>
      <c r="D12" s="57">
        <f>Sim_Base_GananciaReal</f>
        <v/>
      </c>
    </row>
    <row r="13">
      <c r="B13" s="56" t="inlineStr">
        <is>
          <t>Margen</t>
        </is>
      </c>
      <c r="D13" s="58">
        <f>Sim_Base_Margen</f>
        <v/>
      </c>
    </row>
    <row r="15">
      <c r="B15" s="59" t="inlineStr">
        <is>
          <t>Escenario A</t>
        </is>
      </c>
      <c r="F15" s="59" t="inlineStr">
        <is>
          <t>Escenario B</t>
        </is>
      </c>
      <c r="J15" s="59" t="inlineStr">
        <is>
          <t>Escenario C</t>
        </is>
      </c>
    </row>
    <row r="16">
      <c r="B16" s="60" t="inlineStr">
        <is>
          <t>Δ Precio %</t>
        </is>
      </c>
      <c r="D16" s="61" t="n">
        <v>0</v>
      </c>
      <c r="F16" s="60" t="inlineStr">
        <is>
          <t>Δ Precio %</t>
        </is>
      </c>
      <c r="H16" s="61" t="n">
        <v>0</v>
      </c>
      <c r="J16" s="60" t="inlineStr">
        <is>
          <t>Δ Precio %</t>
        </is>
      </c>
      <c r="L16" s="61" t="n">
        <v>0</v>
      </c>
    </row>
    <row r="17">
      <c r="B17" s="60" t="inlineStr">
        <is>
          <t>Δ Cantidad de ventas %</t>
        </is>
      </c>
      <c r="D17" s="61" t="n">
        <v>0</v>
      </c>
      <c r="F17" s="60" t="inlineStr">
        <is>
          <t>Δ Cantidad de ventas %</t>
        </is>
      </c>
      <c r="H17" s="61" t="n">
        <v>0</v>
      </c>
      <c r="J17" s="60" t="inlineStr">
        <is>
          <t>Δ Cantidad de ventas %</t>
        </is>
      </c>
      <c r="L17" s="61" t="n">
        <v>0</v>
      </c>
    </row>
    <row r="18">
      <c r="B18" s="60" t="inlineStr">
        <is>
          <t>Δ Margen (pp)</t>
        </is>
      </c>
      <c r="D18" s="62" t="n">
        <v>0</v>
      </c>
      <c r="F18" s="60" t="inlineStr">
        <is>
          <t>Δ Margen (pp)</t>
        </is>
      </c>
      <c r="H18" s="62" t="n">
        <v>0</v>
      </c>
      <c r="J18" s="60" t="inlineStr">
        <is>
          <t>Δ Margen (pp)</t>
        </is>
      </c>
      <c r="L18" s="62" t="n">
        <v>0</v>
      </c>
    </row>
    <row r="19">
      <c r="B19" s="60" t="inlineStr">
        <is>
          <t>Δ Gastos ($)</t>
        </is>
      </c>
      <c r="D19" s="63" t="n">
        <v>0</v>
      </c>
      <c r="F19" s="60" t="inlineStr">
        <is>
          <t>Δ Gastos ($)</t>
        </is>
      </c>
      <c r="H19" s="63" t="n">
        <v>0</v>
      </c>
      <c r="J19" s="60" t="inlineStr">
        <is>
          <t>Δ Gastos ($)</t>
        </is>
      </c>
      <c r="L19" s="63" t="n">
        <v>0</v>
      </c>
    </row>
    <row r="20">
      <c r="B20" s="60" t="inlineStr">
        <is>
          <t>Δ Publicidad ($)</t>
        </is>
      </c>
      <c r="D20" s="63" t="n">
        <v>0</v>
      </c>
      <c r="F20" s="60" t="inlineStr">
        <is>
          <t>Δ Publicidad ($)</t>
        </is>
      </c>
      <c r="H20" s="63" t="n">
        <v>0</v>
      </c>
      <c r="J20" s="60" t="inlineStr">
        <is>
          <t>Δ Publicidad ($)</t>
        </is>
      </c>
      <c r="L20" s="63" t="n">
        <v>0</v>
      </c>
    </row>
    <row r="22">
      <c r="B22" s="64" t="inlineStr">
        <is>
          <t>ESCENARIO PROYECTADO</t>
        </is>
      </c>
    </row>
    <row r="23">
      <c r="B23" s="60" t="inlineStr">
        <is>
          <t>Ventas</t>
        </is>
      </c>
      <c r="D23" s="57">
        <f>Sim_A_VentasProyectadas</f>
        <v/>
      </c>
      <c r="F23" s="60" t="inlineStr">
        <is>
          <t>Ventas</t>
        </is>
      </c>
      <c r="H23" s="57">
        <f>Sim_B_VentasProyectadas</f>
        <v/>
      </c>
      <c r="J23" s="60" t="inlineStr">
        <is>
          <t>Ventas</t>
        </is>
      </c>
      <c r="L23" s="57">
        <f>Sim_C_VentasProyectadas</f>
        <v/>
      </c>
    </row>
    <row r="24">
      <c r="B24" s="60" t="inlineStr">
        <is>
          <t>Costos de venta</t>
        </is>
      </c>
      <c r="D24" s="57">
        <f>Sim_A_CostosVentaProyectados</f>
        <v/>
      </c>
      <c r="F24" s="60" t="inlineStr">
        <is>
          <t>Costos de venta</t>
        </is>
      </c>
      <c r="H24" s="57">
        <f>Sim_B_CostosVentaProyectados</f>
        <v/>
      </c>
      <c r="J24" s="60" t="inlineStr">
        <is>
          <t>Costos de venta</t>
        </is>
      </c>
      <c r="L24" s="57">
        <f>Sim_C_CostosVentaProyectados</f>
        <v/>
      </c>
    </row>
    <row r="25">
      <c r="B25" s="60" t="inlineStr">
        <is>
          <t>Ganancia de productos</t>
        </is>
      </c>
      <c r="D25" s="57">
        <f>Sim_A_GananciaProductosProyectada</f>
        <v/>
      </c>
      <c r="F25" s="60" t="inlineStr">
        <is>
          <t>Ganancia de productos</t>
        </is>
      </c>
      <c r="H25" s="57">
        <f>Sim_B_GananciaProductosProyectada</f>
        <v/>
      </c>
      <c r="J25" s="60" t="inlineStr">
        <is>
          <t>Ganancia de productos</t>
        </is>
      </c>
      <c r="L25" s="57">
        <f>Sim_C_GananciaProductosProyectada</f>
        <v/>
      </c>
    </row>
    <row r="26">
      <c r="B26" s="60" t="inlineStr">
        <is>
          <t>Gastos</t>
        </is>
      </c>
      <c r="D26" s="57">
        <f>Sim_A_GastosProyectados</f>
        <v/>
      </c>
      <c r="F26" s="60" t="inlineStr">
        <is>
          <t>Gastos</t>
        </is>
      </c>
      <c r="H26" s="57">
        <f>Sim_B_GastosProyectados</f>
        <v/>
      </c>
      <c r="J26" s="60" t="inlineStr">
        <is>
          <t>Gastos</t>
        </is>
      </c>
      <c r="L26" s="57">
        <f>Sim_C_GastosProyectados</f>
        <v/>
      </c>
    </row>
    <row r="27">
      <c r="B27" s="60" t="inlineStr">
        <is>
          <t>Ganancia real</t>
        </is>
      </c>
      <c r="D27" s="57">
        <f>Sim_A_GananciaRealProyectada</f>
        <v/>
      </c>
      <c r="F27" s="60" t="inlineStr">
        <is>
          <t>Ganancia real</t>
        </is>
      </c>
      <c r="H27" s="57">
        <f>Sim_B_GananciaRealProyectada</f>
        <v/>
      </c>
      <c r="J27" s="60" t="inlineStr">
        <is>
          <t>Ganancia real</t>
        </is>
      </c>
      <c r="L27" s="57">
        <f>Sim_C_GananciaRealProyectada</f>
        <v/>
      </c>
    </row>
    <row r="28">
      <c r="B28" s="60" t="inlineStr">
        <is>
          <t>Margen</t>
        </is>
      </c>
      <c r="D28" s="58">
        <f>Sim_A_MargenProyectado</f>
        <v/>
      </c>
      <c r="F28" s="60" t="inlineStr">
        <is>
          <t>Margen</t>
        </is>
      </c>
      <c r="H28" s="58">
        <f>Sim_B_MargenProyectado</f>
        <v/>
      </c>
      <c r="J28" s="60" t="inlineStr">
        <is>
          <t>Margen</t>
        </is>
      </c>
      <c r="L28" s="58">
        <f>Sim_C_MargenProyectado</f>
        <v/>
      </c>
    </row>
    <row r="29">
      <c r="B29" s="65" t="inlineStr">
        <is>
          <t>DIFERENCIA</t>
        </is>
      </c>
      <c r="F29" s="65" t="inlineStr">
        <is>
          <t>DIFERENCIA</t>
        </is>
      </c>
      <c r="J29" s="65" t="inlineStr">
        <is>
          <t>DIFERENCIA</t>
        </is>
      </c>
    </row>
    <row r="30">
      <c r="B30" s="66">
        <f>Sim_A_Diferencia</f>
        <v/>
      </c>
      <c r="F30" s="66">
        <f>Sim_B_Diferencia</f>
        <v/>
      </c>
      <c r="J30" s="66">
        <f>Sim_C_Diferencia</f>
        <v/>
      </c>
    </row>
    <row r="31">
      <c r="B31" s="67">
        <f>IF(Sim_A_GastosAjustados=TRUE,"Ajustamos tus gastos proyectados a $0 porque el valor ingresado los volvía negativos.","")</f>
        <v/>
      </c>
      <c r="F31" s="67">
        <f>IF(Sim_B_GastosAjustados=TRUE,"Ajustamos tus gastos proyectados a $0 porque el valor ingresado los volvía negativos.","")</f>
        <v/>
      </c>
      <c r="J31" s="67">
        <f>IF(Sim_C_GastosAjustados=TRUE,"Ajustamos tus gastos proyectados a $0 porque el valor ingresado los volvía negativos.","")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20">
    <mergeCell ref="D1:E1"/>
    <mergeCell ref="H1:I1"/>
    <mergeCell ref="J1:K1"/>
    <mergeCell ref="Q1:S1"/>
    <mergeCell ref="F31:H31"/>
    <mergeCell ref="J31:L31"/>
    <mergeCell ref="B30:D30"/>
    <mergeCell ref="B15:D15"/>
    <mergeCell ref="B1:C1"/>
    <mergeCell ref="N1:O1"/>
    <mergeCell ref="L1:M1"/>
    <mergeCell ref="B4:P4"/>
    <mergeCell ref="B31:D31"/>
    <mergeCell ref="B22:D22"/>
    <mergeCell ref="B3:P3"/>
    <mergeCell ref="F30:H30"/>
    <mergeCell ref="F15:H15"/>
    <mergeCell ref="F1:G1"/>
    <mergeCell ref="J30:L30"/>
    <mergeCell ref="J15:L15"/>
  </mergeCells>
  <conditionalFormatting sqref="B30:L30">
    <cfRule type="expression" priority="1" dxfId="0">
      <formula>B30&lt;0</formula>
    </cfRule>
    <cfRule type="expression" priority="2" dxfId="1">
      <formula>B30&gt;0</formula>
    </cfRule>
  </conditionalFormatting>
  <dataValidations count="24">
    <dataValidation sqref="B16" showDropDown="0" showInputMessage="1" showErrorMessage="0" allowBlank="0" promptTitle="Δ Precio %" prompt="Cuánto cambiarías tu precio de venta."/>
    <dataValidation sqref="B17" showDropDown="0" showInputMessage="1" showErrorMessage="0" allowBlank="0" promptTitle="Δ Cantidad de ventas %" prompt="Cuánto cambiaría la cantidad de unidades que vendés."/>
    <dataValidation sqref="B18" showDropDown="0" showInputMessage="1" showErrorMessage="0" allowBlank="0" promptTitle="Δ Margen" prompt="Este ajuste se suma al efecto que ya tiene un cambio de precio sobre tu margen."/>
    <dataValidation sqref="B19" showDropDown="0" showInputMessage="1" showErrorMessage="0" allowBlank="0" promptTitle="Δ Gastos" prompt="Cambio en tus gastos generales del negocio."/>
    <dataValidation sqref="B20" showDropDown="0" showInputMessage="1" showErrorMessage="0" allowBlank="0" promptTitle="Δ Publicidad" prompt="Gasto adicional en publicidad para este escenario."/>
    <dataValidation sqref="F16" showDropDown="0" showInputMessage="1" showErrorMessage="0" allowBlank="0" promptTitle="Δ Precio %" prompt="Cuánto cambiarías tu precio de venta."/>
    <dataValidation sqref="F17" showDropDown="0" showInputMessage="1" showErrorMessage="0" allowBlank="0" promptTitle="Δ Cantidad de ventas %" prompt="Cuánto cambiaría la cantidad de unidades que vendés."/>
    <dataValidation sqref="F18" showDropDown="0" showInputMessage="1" showErrorMessage="0" allowBlank="0" promptTitle="Δ Margen" prompt="Este ajuste se suma al efecto que ya tiene un cambio de precio sobre tu margen."/>
    <dataValidation sqref="F19" showDropDown="0" showInputMessage="1" showErrorMessage="0" allowBlank="0" promptTitle="Δ Gastos" prompt="Cambio en tus gastos generales del negocio."/>
    <dataValidation sqref="F20" showDropDown="0" showInputMessage="1" showErrorMessage="0" allowBlank="0" promptTitle="Δ Publicidad" prompt="Gasto adicional en publicidad para este escenario."/>
    <dataValidation sqref="J16" showDropDown="0" showInputMessage="1" showErrorMessage="0" allowBlank="0" promptTitle="Δ Precio %" prompt="Cuánto cambiarías tu precio de venta."/>
    <dataValidation sqref="J17" showDropDown="0" showInputMessage="1" showErrorMessage="0" allowBlank="0" promptTitle="Δ Cantidad de ventas %" prompt="Cuánto cambiaría la cantidad de unidades que vendés."/>
    <dataValidation sqref="J18" showDropDown="0" showInputMessage="1" showErrorMessage="0" allowBlank="0" promptTitle="Δ Margen" prompt="Este ajuste se suma al efecto que ya tiene un cambio de precio sobre tu margen."/>
    <dataValidation sqref="J19" showDropDown="0" showInputMessage="1" showErrorMessage="0" allowBlank="0" promptTitle="Δ Gastos" prompt="Cambio en tus gastos generales del negocio."/>
    <dataValidation sqref="J20" showDropDown="0" showInputMessage="1" showErrorMessage="0" allowBlank="0" promptTitle="Δ Publicidad" prompt="Gasto adicional en publicidad para este escenario."/>
    <dataValidation sqref="D16" showDropDown="0" showInputMessage="0" showErrorMessage="1" allowBlank="1" errorTitle="Valor inválido" error="Ingresá un porcentaje razonable." type="decimal" operator="between">
      <formula1>-0.5</formula1>
      <formula2>2.0</formula2>
    </dataValidation>
    <dataValidation sqref="D17" showDropDown="0" showInputMessage="0" showErrorMessage="1" allowBlank="1" errorTitle="Valor inválido" error="Ingresá un porcentaje razonable." type="decimal" operator="between">
      <formula1>-0.9</formula1>
      <formula2>3.0</formula2>
    </dataValidation>
    <dataValidation sqref="D18" showDropDown="0" showInputMessage="0" showErrorMessage="1" allowBlank="1" errorTitle="Valor inválido" error="Ingresá un valor entre -100 y 100 puntos." type="decimal" operator="between">
      <formula1>-1.0</formula1>
      <formula2>1.0</formula2>
    </dataValidation>
    <dataValidation sqref="H16" showDropDown="0" showInputMessage="0" showErrorMessage="1" allowBlank="1" errorTitle="Valor inválido" error="Ingresá un porcentaje razonable." type="decimal" operator="between">
      <formula1>-0.5</formula1>
      <formula2>2.0</formula2>
    </dataValidation>
    <dataValidation sqref="H17" showDropDown="0" showInputMessage="0" showErrorMessage="1" allowBlank="1" errorTitle="Valor inválido" error="Ingresá un porcentaje razonable." type="decimal" operator="between">
      <formula1>-0.9</formula1>
      <formula2>3.0</formula2>
    </dataValidation>
    <dataValidation sqref="H18" showDropDown="0" showInputMessage="0" showErrorMessage="1" allowBlank="1" errorTitle="Valor inválido" error="Ingresá un valor entre -100 y 100 puntos." type="decimal" operator="between">
      <formula1>-1.0</formula1>
      <formula2>1.0</formula2>
    </dataValidation>
    <dataValidation sqref="L16" showDropDown="0" showInputMessage="0" showErrorMessage="1" allowBlank="1" errorTitle="Valor inválido" error="Ingresá un porcentaje razonable." type="decimal" operator="between">
      <formula1>-0.5</formula1>
      <formula2>2.0</formula2>
    </dataValidation>
    <dataValidation sqref="L17" showDropDown="0" showInputMessage="0" showErrorMessage="1" allowBlank="1" errorTitle="Valor inválido" error="Ingresá un porcentaje razonable." type="decimal" operator="between">
      <formula1>-0.9</formula1>
      <formula2>3.0</formula2>
    </dataValidation>
    <dataValidation sqref="L18" showDropDown="0" showInputMessage="0" showErrorMessage="1" allowBlank="1" errorTitle="Valor inválido" error="Ingresá un valor entre -100 y 100 puntos." type="decimal" operator="between">
      <formula1>-1.0</formula1>
      <formula2>1.0</formula2>
    </dataValidation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H1" r:id="rId4"/>
    <hyperlink xmlns:r="http://schemas.openxmlformats.org/officeDocument/2006/relationships" ref="J1" r:id="rId5"/>
    <hyperlink xmlns:r="http://schemas.openxmlformats.org/officeDocument/2006/relationships" ref="L1" r:id="rId6"/>
    <hyperlink xmlns:r="http://schemas.openxmlformats.org/officeDocument/2006/relationships" ref="B6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S11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B1" s="7" t="inlineStr">
        <is>
          <t>🏠 Inicio</t>
        </is>
      </c>
      <c r="D1" s="7" t="inlineStr">
        <is>
          <t>⚙️ Configuración</t>
        </is>
      </c>
      <c r="F1" s="7" t="inlineStr">
        <is>
          <t>📦 Productos</t>
        </is>
      </c>
      <c r="H1" s="7" t="inlineStr">
        <is>
          <t>🛒 Ventas</t>
        </is>
      </c>
      <c r="J1" s="7" t="inlineStr">
        <is>
          <t>💸 Gastos</t>
        </is>
      </c>
      <c r="L1" s="7" t="inlineStr">
        <is>
          <t>🎯 Objetivos</t>
        </is>
      </c>
      <c r="N1" s="7" t="inlineStr">
        <is>
          <t>🔬 Simulador</t>
        </is>
      </c>
      <c r="Q1" s="68">
        <f>"🎬 DEMO"</f>
        <v/>
      </c>
    </row>
    <row r="2" ht="6" customHeight="1"/>
    <row r="3" ht="26" customHeight="1">
      <c r="B3" s="9" t="inlineStr">
        <is>
          <t>🎬 DEMO</t>
        </is>
      </c>
    </row>
    <row r="4" ht="16" customHeight="1">
      <c r="B4" s="10" t="inlineStr">
        <is>
          <t>Así se ve Profitly con datos de ejemplo.</t>
        </is>
      </c>
    </row>
    <row r="5" ht="6" customHeight="1"/>
    <row r="6">
      <c r="B6" s="69" t="inlineStr">
        <is>
          <t>Estás viendo datos de ejemplo. Cuando quieras, pasá a 🚀 Mi Negocio para cargar los tuyos.</t>
        </is>
      </c>
    </row>
    <row r="9">
      <c r="B9" s="14" t="inlineStr">
        <is>
          <t>VENTAS</t>
        </is>
      </c>
      <c r="F9" s="14" t="inlineStr">
        <is>
          <t>GANANCIA REAL</t>
        </is>
      </c>
      <c r="J9" s="14" t="inlineStr">
        <is>
          <t>MARGEN</t>
        </is>
      </c>
      <c r="N9" s="14" t="inlineStr">
        <is>
          <t>GASTOS</t>
        </is>
      </c>
    </row>
    <row r="10">
      <c r="B10" s="15">
        <f>DemoKPI_VentasPeriodo</f>
        <v/>
      </c>
      <c r="F10" s="15">
        <f>DemoKPI_GananciaReal</f>
        <v/>
      </c>
      <c r="J10" s="16">
        <f>DemoKPI_MargenReal</f>
        <v/>
      </c>
      <c r="N10" s="15">
        <f>DemoKPI_GastosPeriodo</f>
        <v/>
      </c>
    </row>
    <row r="11">
      <c r="B11" s="18" t="inlineStr"/>
      <c r="F11" s="18" t="inlineStr"/>
      <c r="J11" s="18" t="inlineStr"/>
      <c r="N11" s="18" t="inlineStr"/>
    </row>
    <row r="13">
      <c r="B13" s="14" t="inlineStr">
        <is>
          <t>TICKET PROMEDIO</t>
        </is>
      </c>
      <c r="F13" s="14" t="inlineStr">
        <is>
          <t>OBJETIVO MENSUAL</t>
        </is>
      </c>
      <c r="J13" s="14" t="inlineStr">
        <is>
          <t>PROGRESO</t>
        </is>
      </c>
    </row>
    <row r="14">
      <c r="B14" s="15">
        <f>DemoKPI_TicketPromedio</f>
        <v/>
      </c>
      <c r="F14" s="15">
        <f>DemoKPI_Objetivo</f>
        <v/>
      </c>
      <c r="J14" s="16">
        <f>IFERROR(DemoKPI_ProgresoPct,0)</f>
        <v/>
      </c>
    </row>
    <row r="15">
      <c r="B15" s="18" t="inlineStr"/>
      <c r="F15" s="18" t="inlineStr"/>
      <c r="J15" s="18" t="inlineStr"/>
    </row>
    <row r="17">
      <c r="B17" s="19" t="inlineStr">
        <is>
          <t>💡 Lo que Profitly encontró en tus números</t>
        </is>
      </c>
    </row>
    <row r="18">
      <c r="B18" s="20" t="inlineStr">
        <is>
          <t>🔥 Set de regalo premium genera la mayor parte de tu ganancia.</t>
        </is>
      </c>
    </row>
    <row r="19">
      <c r="B19" s="20" t="inlineStr">
        <is>
          <t>🎯 Te faltan $45.000 de ganancia para alcanzar tu objetivo.</t>
        </is>
      </c>
    </row>
    <row r="115">
      <c r="R115" t="inlineStr">
        <is>
          <t>Alcanzado</t>
        </is>
      </c>
      <c r="S115" t="inlineStr">
        <is>
          <t>Restante</t>
        </is>
      </c>
    </row>
    <row r="116">
      <c r="R116">
        <f>DemoKPI_GananciaReal</f>
        <v/>
      </c>
      <c r="S116">
        <f>MAX(DemoKPI_Objetivo-DemoKPI_GananciaReal,0)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34">
    <mergeCell ref="B11:D11"/>
    <mergeCell ref="B14:D14"/>
    <mergeCell ref="D1:E1"/>
    <mergeCell ref="H1:I1"/>
    <mergeCell ref="J1:K1"/>
    <mergeCell ref="B13:D13"/>
    <mergeCell ref="Q1:S1"/>
    <mergeCell ref="J11:L11"/>
    <mergeCell ref="B18:P18"/>
    <mergeCell ref="B10:D10"/>
    <mergeCell ref="N10:P10"/>
    <mergeCell ref="F13:H13"/>
    <mergeCell ref="B19:P19"/>
    <mergeCell ref="B9:D9"/>
    <mergeCell ref="N9:P9"/>
    <mergeCell ref="F9:H9"/>
    <mergeCell ref="B15:D15"/>
    <mergeCell ref="B1:C1"/>
    <mergeCell ref="N1:O1"/>
    <mergeCell ref="B6:P6"/>
    <mergeCell ref="F14:H14"/>
    <mergeCell ref="L1:M1"/>
    <mergeCell ref="B4:P4"/>
    <mergeCell ref="F11:H11"/>
    <mergeCell ref="N11:P11"/>
    <mergeCell ref="F10:H10"/>
    <mergeCell ref="J14:L14"/>
    <mergeCell ref="J10:L10"/>
    <mergeCell ref="J13:L13"/>
    <mergeCell ref="B3:P3"/>
    <mergeCell ref="J9:L9"/>
    <mergeCell ref="F15:H15"/>
    <mergeCell ref="F1:G1"/>
    <mergeCell ref="J15:L15"/>
  </mergeCells>
  <conditionalFormatting sqref="J14:L14">
    <cfRule type="dataBar" priority="1">
      <dataBar showValue="1">
        <cfvo type="num" val="0"/>
        <cfvo type="num" val="1"/>
        <color rgb="001E8E5A"/>
      </dataBar>
    </cfRule>
  </conditionalFormatting>
  <dataValidations count="2">
    <dataValidation sqref="F9" showDropDown="0" showInputMessage="1" showErrorMessage="0" allowBlank="0" promptTitle="GANANCIA REAL" prompt="Lo que realmente te queda después de descontar los costos de cada venta y los gastos generales de tu negocio."/>
    <dataValidation sqref="J9" showDropDown="0" showInputMessage="1" showErrorMessage="0" allowBlank="0" promptTitle="MARGEN" prompt="Porcentaje de tus ventas que queda después de descontar los costos asociados a vender."/>
  </dataValidations>
  <hyperlinks>
    <hyperlink xmlns:r="http://schemas.openxmlformats.org/officeDocument/2006/relationships" ref="B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H1" r:id="rId4"/>
    <hyperlink xmlns:r="http://schemas.openxmlformats.org/officeDocument/2006/relationships" ref="J1" r:id="rId5"/>
    <hyperlink xmlns:r="http://schemas.openxmlformats.org/officeDocument/2006/relationships" ref="L1" r:id="rId6"/>
    <hyperlink xmlns:r="http://schemas.openxmlformats.org/officeDocument/2006/relationships" ref="N1" r:id="rId7"/>
    <hyperlink xmlns:r="http://schemas.openxmlformats.org/officeDocument/2006/relationships" ref="B6" r:id="rId8"/>
  </hyperlinks>
  <pageMargins left="0.75" right="0.75" top="1" bottom="1" header="0.5" footer="0.5"/>
  <drawing xmlns:r="http://schemas.openxmlformats.org/officeDocument/2006/relationships" r:id="rId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70" t="inlineStr">
        <is>
          <t>Nombre</t>
        </is>
      </c>
      <c r="B1" s="70" t="inlineStr">
        <is>
          <t>Valor</t>
        </is>
      </c>
    </row>
    <row r="6">
      <c r="A6" t="inlineStr">
        <is>
          <t>Cfg_PeriodoInicio</t>
        </is>
      </c>
      <c r="B6">
        <f>IF('🏠 Inicio'!$G$7="Mes pasado",EOMONTH(TODAY(),-2)+1,IF('🏠 Inicio'!$G$7="Últimos 3 meses",EOMONTH(TODAY(),-3)+1,EOMONTH(TODAY(),-1)+1))</f>
        <v/>
      </c>
    </row>
    <row r="7">
      <c r="A7" t="inlineStr">
        <is>
          <t>Cfg_PeriodoFin</t>
        </is>
      </c>
      <c r="B7">
        <f>IF('🏠 Inicio'!$G$7="Mes pasado",EOMONTH(TODAY(),-1),TODAY())</f>
        <v/>
      </c>
    </row>
    <row r="8">
      <c r="A8" t="inlineStr">
        <is>
          <t>Cfg_MargenAlertaUmbral</t>
        </is>
      </c>
      <c r="B8" t="n">
        <v>0.15</v>
      </c>
    </row>
    <row r="10">
      <c r="A10" t="inlineStr">
        <is>
          <t>Cfg_PeriodoInicio_Ant</t>
        </is>
      </c>
      <c r="B10">
        <f>EDATE(Cfg_PeriodoInicio,-1)</f>
        <v/>
      </c>
    </row>
    <row r="11">
      <c r="A11" t="inlineStr">
        <is>
          <t>Cfg_PeriodoFin_Ant</t>
        </is>
      </c>
      <c r="B11">
        <f>EDATE(Cfg_PeriodoInicio,0)-1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0" t="inlineStr">
        <is>
          <t>Lst_Categorias</t>
        </is>
      </c>
      <c r="B1" s="70" t="inlineStr">
        <is>
          <t>Lst_Canales</t>
        </is>
      </c>
      <c r="C1" s="70" t="inlineStr">
        <is>
          <t>Lst_CategoriasGasto</t>
        </is>
      </c>
      <c r="D1" s="70" t="inlineStr">
        <is>
          <t>Lst_TiposGasto</t>
        </is>
      </c>
      <c r="E1" s="70" t="inlineStr">
        <is>
          <t>Lst_Monedas</t>
        </is>
      </c>
      <c r="F1" s="70" t="inlineStr">
        <is>
          <t>Lst_PeriodosRapidos</t>
        </is>
      </c>
    </row>
    <row r="2">
      <c r="A2" t="inlineStr">
        <is>
          <t>General</t>
        </is>
      </c>
      <c r="B2" t="inlineStr">
        <is>
          <t>Local</t>
        </is>
      </c>
      <c r="C2" t="inlineStr">
        <is>
          <t>Publicidad</t>
        </is>
      </c>
      <c r="D2" t="inlineStr">
        <is>
          <t>Fijo</t>
        </is>
      </c>
      <c r="E2" t="inlineStr">
        <is>
          <t>$</t>
        </is>
      </c>
      <c r="F2" t="inlineStr">
        <is>
          <t>Este mes</t>
        </is>
      </c>
    </row>
    <row r="3">
      <c r="A3" t="inlineStr">
        <is>
          <t>Alimentos</t>
        </is>
      </c>
      <c r="B3" t="inlineStr">
        <is>
          <t>Online</t>
        </is>
      </c>
      <c r="C3" t="inlineStr">
        <is>
          <t>Software/Suscripciones</t>
        </is>
      </c>
      <c r="D3" t="inlineStr">
        <is>
          <t>Variable</t>
        </is>
      </c>
      <c r="E3" t="inlineStr">
        <is>
          <t>US$</t>
        </is>
      </c>
      <c r="F3" t="inlineStr">
        <is>
          <t>Mes pasado</t>
        </is>
      </c>
    </row>
    <row r="4">
      <c r="A4" t="inlineStr">
        <is>
          <t>Indumentaria</t>
        </is>
      </c>
      <c r="B4" t="inlineStr">
        <is>
          <t>Mayorista</t>
        </is>
      </c>
      <c r="C4" t="inlineStr">
        <is>
          <t>Internet</t>
        </is>
      </c>
      <c r="D4" t="inlineStr">
        <is>
          <t>Único</t>
        </is>
      </c>
      <c r="E4" t="inlineStr">
        <is>
          <t>€</t>
        </is>
      </c>
      <c r="F4" t="inlineStr">
        <is>
          <t>Últimos 3 meses</t>
        </is>
      </c>
    </row>
    <row r="5">
      <c r="A5" t="inlineStr">
        <is>
          <t>Accesorios</t>
        </is>
      </c>
      <c r="B5" t="inlineStr">
        <is>
          <t>Redes sociales</t>
        </is>
      </c>
      <c r="C5" t="inlineStr">
        <is>
          <t>Packaging general</t>
        </is>
      </c>
      <c r="E5" t="inlineStr">
        <is>
          <t>S/</t>
        </is>
      </c>
      <c r="F5" t="inlineStr">
        <is>
          <t>Personalizado</t>
        </is>
      </c>
    </row>
    <row r="6">
      <c r="A6" t="inlineStr">
        <is>
          <t>Hogar</t>
        </is>
      </c>
      <c r="B6" t="inlineStr">
        <is>
          <t>Feria</t>
        </is>
      </c>
      <c r="C6" t="inlineStr">
        <is>
          <t>Herramientas</t>
        </is>
      </c>
      <c r="E6" t="inlineStr">
        <is>
          <t>MX$</t>
        </is>
      </c>
    </row>
    <row r="7">
      <c r="A7" t="inlineStr">
        <is>
          <t>Belleza</t>
        </is>
      </c>
      <c r="C7" t="inlineStr">
        <is>
          <t>Otros</t>
        </is>
      </c>
    </row>
    <row r="8">
      <c r="A8" t="inlineStr">
        <is>
          <t>Servicios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Gastos del período</t>
        </is>
      </c>
      <c r="B2">
        <f>SUMIFS(tbl_Gastos[Importe],tbl_Gastos[Fecha],"&gt;="&amp;Cfg_PeriodoInicio,tbl_Gastos[Fecha],"&lt;="&amp;Cfg_PeriodoFin)</f>
        <v/>
      </c>
    </row>
    <row r="3">
      <c r="A3" t="inlineStr">
        <is>
          <t>Gastos del período anterior</t>
        </is>
      </c>
      <c r="B3">
        <f>SUMIFS(tbl_Gastos[Importe],tbl_Gastos[Fecha],"&gt;="&amp;Cfg_PeriodoInicio_Ant,tbl_Gastos[Fecha],"&lt;="&amp;Cfg_PeriodoFin_Ant)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Actual</t>
        </is>
      </c>
      <c r="C1" t="inlineStr">
        <is>
          <t>Anterior</t>
        </is>
      </c>
      <c r="E1" t="inlineStr">
        <is>
          <t>Alcanzado</t>
        </is>
      </c>
      <c r="F1" t="inlineStr">
        <is>
          <t>Restante</t>
        </is>
      </c>
    </row>
    <row r="2">
      <c r="A2" t="inlineStr">
        <is>
          <t>Ventas del período</t>
        </is>
      </c>
      <c r="B2">
        <f>SUMIFS(tbl_Ventas[Venta total],tbl_Ventas[Fecha],"&gt;="&amp;Cfg_PeriodoInicio,tbl_Ventas[Fecha],"&lt;="&amp;Cfg_PeriodoFin)</f>
        <v/>
      </c>
      <c r="C2">
        <f>SUMIFS(tbl_Ventas[Venta total],tbl_Ventas[Fecha],"&gt;="&amp;Cfg_PeriodoInicio_Ant,tbl_Ventas[Fecha],"&lt;="&amp;Cfg_PeriodoFin_Ant)</f>
        <v/>
      </c>
      <c r="E2">
        <f>MIN(Obj_GananciaActual,Obj_GananciaObjetivo)</f>
        <v/>
      </c>
      <c r="F2">
        <f>Obj_Restante</f>
        <v/>
      </c>
    </row>
    <row r="3">
      <c r="A3" t="inlineStr">
        <is>
          <t>Costos de venta del período</t>
        </is>
      </c>
      <c r="B3">
        <f>SUMIFS(tbl_Ventas[Costo total de la venta],tbl_Ventas[Fecha],"&gt;="&amp;Cfg_PeriodoInicio,tbl_Ventas[Fecha],"&lt;="&amp;Cfg_PeriodoFin)</f>
        <v/>
      </c>
      <c r="C3">
        <f>SUMIFS(tbl_Ventas[Costo total de la venta],tbl_Ventas[Fecha],"&gt;="&amp;Cfg_PeriodoInicio_Ant,tbl_Ventas[Fecha],"&lt;="&amp;Cfg_PeriodoFin_Ant)</f>
        <v/>
      </c>
    </row>
    <row r="4">
      <c r="A4" t="inlineStr">
        <is>
          <t>Ganancia de productos</t>
        </is>
      </c>
      <c r="B4">
        <f>KPI_VentasPeriodo-KPI_CostosVentaPeriodo</f>
        <v/>
      </c>
      <c r="C4">
        <f>KPI_VentasPeriodo_Ant-KPI_CostosVentaPeriodo_Ant</f>
        <v/>
      </c>
    </row>
    <row r="5">
      <c r="A5" t="inlineStr">
        <is>
          <t>Gastos del período</t>
        </is>
      </c>
      <c r="B5">
        <f>GastosCalc_PeriodoActual</f>
        <v/>
      </c>
      <c r="C5">
        <f>GastosCalc_PeriodoAnterior</f>
        <v/>
      </c>
    </row>
    <row r="6">
      <c r="A6" t="inlineStr">
        <is>
          <t>Ganancia real</t>
        </is>
      </c>
      <c r="B6">
        <f>KPI_GananciaProductos-KPI_GastosPeriodo</f>
        <v/>
      </c>
      <c r="C6">
        <f>KPI_GananciaProductos_Ant-KPI_GastosPeriodo_Ant</f>
        <v/>
      </c>
    </row>
    <row r="7">
      <c r="A7" t="inlineStr">
        <is>
          <t>Margen real</t>
        </is>
      </c>
      <c r="B7">
        <f>IF(KPI_VentasPeriodo=0,Txt_SinVentas,KPI_GananciaReal/KPI_VentasPeriodo)</f>
        <v/>
      </c>
      <c r="C7">
        <f>IF(KPI_VentasPeriodo_Ant=0,Txt_SinVentas,KPI_GananciaReal_Ant/KPI_VentasPeriodo_Ant)</f>
        <v/>
      </c>
    </row>
    <row r="8">
      <c r="A8" t="inlineStr">
        <is>
          <t>Cantidad de ventas</t>
        </is>
      </c>
      <c r="B8">
        <f>COUNTIFS(tbl_Ventas[Fecha],"&gt;="&amp;Cfg_PeriodoInicio,tbl_Ventas[Fecha],"&lt;="&amp;Cfg_PeriodoFin)</f>
        <v/>
      </c>
      <c r="C8">
        <f>COUNTIFS(tbl_Ventas[Fecha],"&gt;="&amp;Cfg_PeriodoInicio_Ant,tbl_Ventas[Fecha],"&lt;="&amp;Cfg_PeriodoFin_Ant)</f>
        <v/>
      </c>
    </row>
    <row r="9">
      <c r="A9" t="inlineStr">
        <is>
          <t>Ticket promedio</t>
        </is>
      </c>
      <c r="B9">
        <f>IF(KPI_CantidadVentas=0,Txt_SinVentas,KPI_VentasPeriodo/KPI_CantidadVentas)</f>
        <v/>
      </c>
      <c r="C9">
        <f>IF(KPI_CantidadVentas_Ant=0,Txt_SinVentas,KPI_VentasPeriodo_Ant/KPI_CantidadVentas_Ant)</f>
        <v/>
      </c>
    </row>
    <row r="12">
      <c r="A12" t="inlineStr">
        <is>
          <t>Deltas vs. período anterior</t>
        </is>
      </c>
    </row>
    <row r="13">
      <c r="A13" t="inlineStr">
        <is>
          <t>KPI_VentasPeriodo</t>
        </is>
      </c>
      <c r="B13">
        <f>IFERROR((KPI_VentasPeriodo-KPI_VentasPeriodo_Ant)/ABS(KPI_VentasPeriodo_Ant),"")</f>
        <v/>
      </c>
    </row>
    <row r="14">
      <c r="A14" t="inlineStr">
        <is>
          <t>KPI_GananciaReal</t>
        </is>
      </c>
      <c r="B14">
        <f>IFERROR((KPI_GananciaReal-KPI_GananciaReal_Ant)/ABS(KPI_GananciaReal_Ant),"")</f>
        <v/>
      </c>
    </row>
    <row r="15">
      <c r="A15" t="inlineStr">
        <is>
          <t>KPI_MargenReal</t>
        </is>
      </c>
      <c r="B15">
        <f>IFERROR((KPI_MargenReal-KPI_MargenReal_Ant)/ABS(KPI_MargenReal_Ant),"")</f>
        <v/>
      </c>
    </row>
    <row r="16">
      <c r="A16" t="inlineStr">
        <is>
          <t>KPI_GastosPeriodo</t>
        </is>
      </c>
      <c r="B16">
        <f>IFERROR((KPI_GastosPeriodo-KPI_GastosPeriodo_Ant)/ABS(KPI_GastosPeriodo_Ant),"")</f>
        <v/>
      </c>
    </row>
    <row r="17">
      <c r="A17" t="inlineStr">
        <is>
          <t>KPI_TicketPromedio</t>
        </is>
      </c>
      <c r="B17">
        <f>IFERROR((KPI_TicketPromedio-KPI_TicketPromedio_Ant)/ABS(KPI_TicketPromedio_Ant),"")</f>
        <v/>
      </c>
    </row>
    <row r="20">
      <c r="A20" t="inlineStr">
        <is>
          <t>Tendencia (últimos 6 períodos)</t>
        </is>
      </c>
      <c r="B20">
        <f>IF(COUNTA(tbl_Ventas[Fecha])=0,0,TODAY()-MIN(tbl_Ventas[Fecha]))</f>
        <v/>
      </c>
    </row>
    <row r="21">
      <c r="B21">
        <f>IF(Dash_DiasHistorial&lt;60,"Semanal","Mensual")</f>
        <v/>
      </c>
    </row>
    <row r="22">
      <c r="A22" t="inlineStr">
        <is>
          <t>Periodo</t>
        </is>
      </c>
      <c r="B22" t="inlineStr">
        <is>
          <t>Ventas</t>
        </is>
      </c>
      <c r="C22" t="inlineStr">
        <is>
          <t>Ganancia</t>
        </is>
      </c>
    </row>
    <row r="23">
      <c r="A23">
        <f>IF(Dash_Granularidad="Mensual",TEXT(EDATE(TODAY(),-5),"MMM"),"Sem. "&amp;TEXT(TODAY()-5*7,"DD/MM"))</f>
        <v/>
      </c>
      <c r="B23" s="71">
        <f>IF(Dash_Granularidad="Mensual",SUMIFS(tbl_Ventas[Venta total],tbl_Ventas[Fecha],"&gt;="&amp;EOMONTH(TODAY(),-5-1)+1,tbl_Ventas[Fecha],"&lt;="&amp;EOMONTH(TODAY(),-5)),SUMIFS(tbl_Ventas[Venta total],tbl_Ventas[Fecha],"&gt;="&amp;TODAY()-5*7-6,tbl_Ventas[Fecha],"&lt;="&amp;TODAY()-5*7))</f>
        <v/>
      </c>
      <c r="C23" s="71">
        <f>IF(Dash_Granularidad="Mensual",SUMIFS(tbl_Ventas[Ganancia],tbl_Ventas[Fecha],"&gt;="&amp;EOMONTH(TODAY(),-5-1)+1,tbl_Ventas[Fecha],"&lt;="&amp;EOMONTH(TODAY(),-5)),SUMIFS(tbl_Ventas[Ganancia],tbl_Ventas[Fecha],"&gt;="&amp;TODAY()-5*7-6,tbl_Ventas[Fecha],"&lt;="&amp;TODAY()-5*7))</f>
        <v/>
      </c>
    </row>
    <row r="24">
      <c r="A24">
        <f>IF(Dash_Granularidad="Mensual",TEXT(EDATE(TODAY(),-4),"MMM"),"Sem. "&amp;TEXT(TODAY()-4*7,"DD/MM"))</f>
        <v/>
      </c>
      <c r="B24" s="71">
        <f>IF(Dash_Granularidad="Mensual",SUMIFS(tbl_Ventas[Venta total],tbl_Ventas[Fecha],"&gt;="&amp;EOMONTH(TODAY(),-4-1)+1,tbl_Ventas[Fecha],"&lt;="&amp;EOMONTH(TODAY(),-4)),SUMIFS(tbl_Ventas[Venta total],tbl_Ventas[Fecha],"&gt;="&amp;TODAY()-4*7-6,tbl_Ventas[Fecha],"&lt;="&amp;TODAY()-4*7))</f>
        <v/>
      </c>
      <c r="C24" s="71">
        <f>IF(Dash_Granularidad="Mensual",SUMIFS(tbl_Ventas[Ganancia],tbl_Ventas[Fecha],"&gt;="&amp;EOMONTH(TODAY(),-4-1)+1,tbl_Ventas[Fecha],"&lt;="&amp;EOMONTH(TODAY(),-4)),SUMIFS(tbl_Ventas[Ganancia],tbl_Ventas[Fecha],"&gt;="&amp;TODAY()-4*7-6,tbl_Ventas[Fecha],"&lt;="&amp;TODAY()-4*7))</f>
        <v/>
      </c>
    </row>
    <row r="25">
      <c r="A25">
        <f>IF(Dash_Granularidad="Mensual",TEXT(EDATE(TODAY(),-3),"MMM"),"Sem. "&amp;TEXT(TODAY()-3*7,"DD/MM"))</f>
        <v/>
      </c>
      <c r="B25" s="71">
        <f>IF(Dash_Granularidad="Mensual",SUMIFS(tbl_Ventas[Venta total],tbl_Ventas[Fecha],"&gt;="&amp;EOMONTH(TODAY(),-3-1)+1,tbl_Ventas[Fecha],"&lt;="&amp;EOMONTH(TODAY(),-3)),SUMIFS(tbl_Ventas[Venta total],tbl_Ventas[Fecha],"&gt;="&amp;TODAY()-3*7-6,tbl_Ventas[Fecha],"&lt;="&amp;TODAY()-3*7))</f>
        <v/>
      </c>
      <c r="C25" s="71">
        <f>IF(Dash_Granularidad="Mensual",SUMIFS(tbl_Ventas[Ganancia],tbl_Ventas[Fecha],"&gt;="&amp;EOMONTH(TODAY(),-3-1)+1,tbl_Ventas[Fecha],"&lt;="&amp;EOMONTH(TODAY(),-3)),SUMIFS(tbl_Ventas[Ganancia],tbl_Ventas[Fecha],"&gt;="&amp;TODAY()-3*7-6,tbl_Ventas[Fecha],"&lt;="&amp;TODAY()-3*7))</f>
        <v/>
      </c>
    </row>
    <row r="26">
      <c r="A26">
        <f>IF(Dash_Granularidad="Mensual",TEXT(EDATE(TODAY(),-2),"MMM"),"Sem. "&amp;TEXT(TODAY()-2*7,"DD/MM"))</f>
        <v/>
      </c>
      <c r="B26" s="71">
        <f>IF(Dash_Granularidad="Mensual",SUMIFS(tbl_Ventas[Venta total],tbl_Ventas[Fecha],"&gt;="&amp;EOMONTH(TODAY(),-2-1)+1,tbl_Ventas[Fecha],"&lt;="&amp;EOMONTH(TODAY(),-2)),SUMIFS(tbl_Ventas[Venta total],tbl_Ventas[Fecha],"&gt;="&amp;TODAY()-2*7-6,tbl_Ventas[Fecha],"&lt;="&amp;TODAY()-2*7))</f>
        <v/>
      </c>
      <c r="C26" s="71">
        <f>IF(Dash_Granularidad="Mensual",SUMIFS(tbl_Ventas[Ganancia],tbl_Ventas[Fecha],"&gt;="&amp;EOMONTH(TODAY(),-2-1)+1,tbl_Ventas[Fecha],"&lt;="&amp;EOMONTH(TODAY(),-2)),SUMIFS(tbl_Ventas[Ganancia],tbl_Ventas[Fecha],"&gt;="&amp;TODAY()-2*7-6,tbl_Ventas[Fecha],"&lt;="&amp;TODAY()-2*7))</f>
        <v/>
      </c>
    </row>
    <row r="27">
      <c r="A27">
        <f>IF(Dash_Granularidad="Mensual",TEXT(EDATE(TODAY(),-1),"MMM"),"Sem. "&amp;TEXT(TODAY()-1*7,"DD/MM"))</f>
        <v/>
      </c>
      <c r="B27" s="71">
        <f>IF(Dash_Granularidad="Mensual",SUMIFS(tbl_Ventas[Venta total],tbl_Ventas[Fecha],"&gt;="&amp;EOMONTH(TODAY(),-1-1)+1,tbl_Ventas[Fecha],"&lt;="&amp;EOMONTH(TODAY(),-1)),SUMIFS(tbl_Ventas[Venta total],tbl_Ventas[Fecha],"&gt;="&amp;TODAY()-1*7-6,tbl_Ventas[Fecha],"&lt;="&amp;TODAY()-1*7))</f>
        <v/>
      </c>
      <c r="C27" s="71">
        <f>IF(Dash_Granularidad="Mensual",SUMIFS(tbl_Ventas[Ganancia],tbl_Ventas[Fecha],"&gt;="&amp;EOMONTH(TODAY(),-1-1)+1,tbl_Ventas[Fecha],"&lt;="&amp;EOMONTH(TODAY(),-1)),SUMIFS(tbl_Ventas[Ganancia],tbl_Ventas[Fecha],"&gt;="&amp;TODAY()-1*7-6,tbl_Ventas[Fecha],"&lt;="&amp;TODAY()-1*7))</f>
        <v/>
      </c>
    </row>
    <row r="28">
      <c r="A28">
        <f>IF(Dash_Granularidad="Mensual",TEXT(EDATE(TODAY(),-0),"MMM"),"Sem. "&amp;TEXT(TODAY()-0*7,"DD/MM"))</f>
        <v/>
      </c>
      <c r="B28" s="71">
        <f>IF(Dash_Granularidad="Mensual",SUMIFS(tbl_Ventas[Venta total],tbl_Ventas[Fecha],"&gt;="&amp;EOMONTH(TODAY(),-0-1)+1,tbl_Ventas[Fecha],"&lt;="&amp;EOMONTH(TODAY(),-0)),SUMIFS(tbl_Ventas[Venta total],tbl_Ventas[Fecha],"&gt;="&amp;TODAY()-0*7-6,tbl_Ventas[Fecha],"&lt;="&amp;TODAY()-0*7))</f>
        <v/>
      </c>
      <c r="C28" s="71">
        <f>IF(Dash_Granularidad="Mensual",SUMIFS(tbl_Ventas[Ganancia],tbl_Ventas[Fecha],"&gt;="&amp;EOMONTH(TODAY(),-0-1)+1,tbl_Ventas[Fecha],"&lt;="&amp;EOMONTH(TODAY(),-0)),SUMIFS(tbl_Ventas[Ganancia],tbl_Ventas[Fecha],"&gt;="&amp;TODAY()-0*7-6,tbl_Ventas[Fecha],"&lt;="&amp;TODAY()-0*7))</f>
        <v/>
      </c>
    </row>
    <row r="31">
      <c r="A31" t="inlineStr">
        <is>
          <t>Ganancia por producto (top 8)</t>
        </is>
      </c>
    </row>
    <row r="32">
      <c r="A32" t="inlineStr">
        <is>
          <t>Producto</t>
        </is>
      </c>
      <c r="B32" t="inlineStr">
        <is>
          <t>Ganancia total</t>
        </is>
      </c>
    </row>
    <row r="33">
      <c r="A33">
        <f>IFERROR(INDEX(tbl_Productos[Producto],MATCH(B33,tbl_Productos[Ganancia total],0)),"")</f>
        <v/>
      </c>
      <c r="B33" s="71">
        <f>IFERROR(LARGE(tbl_Productos[Ganancia total],1),"")</f>
        <v/>
      </c>
    </row>
    <row r="34">
      <c r="A34">
        <f>IFERROR(INDEX(tbl_Productos[Producto],MATCH(B34,tbl_Productos[Ganancia total],0)),"")</f>
        <v/>
      </c>
      <c r="B34" s="71">
        <f>IFERROR(LARGE(tbl_Productos[Ganancia total],2),"")</f>
        <v/>
      </c>
    </row>
    <row r="35">
      <c r="A35">
        <f>IFERROR(INDEX(tbl_Productos[Producto],MATCH(B35,tbl_Productos[Ganancia total],0)),"")</f>
        <v/>
      </c>
      <c r="B35" s="71">
        <f>IFERROR(LARGE(tbl_Productos[Ganancia total],3),"")</f>
        <v/>
      </c>
    </row>
    <row r="36">
      <c r="A36">
        <f>IFERROR(INDEX(tbl_Productos[Producto],MATCH(B36,tbl_Productos[Ganancia total],0)),"")</f>
        <v/>
      </c>
      <c r="B36" s="71">
        <f>IFERROR(LARGE(tbl_Productos[Ganancia total],4),"")</f>
        <v/>
      </c>
    </row>
    <row r="37">
      <c r="A37">
        <f>IFERROR(INDEX(tbl_Productos[Producto],MATCH(B37,tbl_Productos[Ganancia total],0)),"")</f>
        <v/>
      </c>
      <c r="B37" s="71">
        <f>IFERROR(LARGE(tbl_Productos[Ganancia total],5),"")</f>
        <v/>
      </c>
    </row>
    <row r="38">
      <c r="A38">
        <f>IFERROR(INDEX(tbl_Productos[Producto],MATCH(B38,tbl_Productos[Ganancia total],0)),"")</f>
        <v/>
      </c>
      <c r="B38" s="71">
        <f>IFERROR(LARGE(tbl_Productos[Ganancia total],6),"")</f>
        <v/>
      </c>
    </row>
    <row r="39">
      <c r="A39">
        <f>IFERROR(INDEX(tbl_Productos[Producto],MATCH(B39,tbl_Productos[Ganancia total],0)),"")</f>
        <v/>
      </c>
      <c r="B39" s="71">
        <f>IFERROR(LARGE(tbl_Productos[Ganancia total],7),"")</f>
        <v/>
      </c>
    </row>
    <row r="40">
      <c r="A40">
        <f>IFERROR(INDEX(tbl_Productos[Producto],MATCH(B40,tbl_Productos[Ganancia total],0)),"")</f>
        <v/>
      </c>
      <c r="B40" s="71">
        <f>IFERROR(LARGE(tbl_Productos[Ganancia total],8),"")</f>
        <v/>
      </c>
    </row>
    <row r="41">
      <c r="A41" t="inlineStr">
        <is>
          <t>Otros</t>
        </is>
      </c>
      <c r="B41" s="71">
        <f>MAX(SUM(tbl_Productos[Ganancia total])-SUM(B33:B40),0)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Ganancia objetivo</t>
        </is>
      </c>
      <c r="B2">
        <f>IFERROR(INDEX(tbl_Objetivos[Objetivo de ganancia],MATCH(EOMONTH(TODAY(),-1)+1,tbl_Objetivos[Periodo (Mes-Año)],0)),Cfg_ObjetivoMensualDefault)</f>
        <v/>
      </c>
    </row>
    <row r="3">
      <c r="A3" t="inlineStr">
        <is>
          <t>Ganancia actual</t>
        </is>
      </c>
      <c r="B3">
        <f>KPI_GananciaReal</f>
        <v/>
      </c>
    </row>
    <row r="4">
      <c r="A4" t="inlineStr">
        <is>
          <t>Restante</t>
        </is>
      </c>
      <c r="B4">
        <f>MAX(Obj_GananciaObjetivo-Obj_GananciaActual,0)</f>
        <v/>
      </c>
    </row>
    <row r="5">
      <c r="A5" t="inlineStr">
        <is>
          <t>Progreso %</t>
        </is>
      </c>
      <c r="B5">
        <f>IF(Obj_GananciaObjetivo&lt;=0,Txt_ObjetivoInvalido,MIN(Obj_GananciaActual/Obj_GananciaObjetivo,1))</f>
        <v/>
      </c>
    </row>
    <row r="6">
      <c r="A6" t="inlineStr">
        <is>
          <t>Días restantes</t>
        </is>
      </c>
      <c r="B6">
        <f>DAY(EOMONTH(TODAY(),0))-DAY(TODAY())</f>
        <v/>
      </c>
    </row>
    <row r="7">
      <c r="A7" t="inlineStr">
        <is>
          <t>Ganancia diaria necesaria</t>
        </is>
      </c>
      <c r="B7">
        <f>IF(Obj_DiasRestantes=0,Txt_UltimoDia,Obj_Restante/Obj_DiasRestantes)</f>
        <v/>
      </c>
    </row>
    <row r="8">
      <c r="A8" t="inlineStr">
        <is>
          <t>Facturación necesaria</t>
        </is>
      </c>
      <c r="B8">
        <f>IF(OR(NOT(ISNUMBER(KPI_MargenReal)),KPI_MargenReal&lt;=0),Txt_ObjetivoInvalido,Obj_Restante/KPI_MargenReal)</f>
        <v/>
      </c>
    </row>
    <row r="9">
      <c r="A9" t="inlineStr">
        <is>
          <t>Ventas necesarias</t>
        </is>
      </c>
      <c r="B9">
        <f>IF(OR(NOT(ISNUMBER(KPI_TicketPromedio)),KPI_TicketPromedio&lt;=0,NOT(ISNUMBER(Obj_FacturacionNecesaria))),Txt_FaltaHistorial,Obj_FacturacionNecesaria/KPI_TicketPromedio)</f>
        <v/>
      </c>
    </row>
    <row r="19">
      <c r="A19" t="inlineStr">
        <is>
          <t>Historial diario (90 días)</t>
        </is>
      </c>
    </row>
    <row r="20">
      <c r="A20" t="inlineStr">
        <is>
          <t>Fecha</t>
        </is>
      </c>
      <c r="B20" t="inlineStr">
        <is>
          <t>Ganancia del día</t>
        </is>
      </c>
    </row>
    <row r="21">
      <c r="A21" s="72">
        <f>TODAY()-89</f>
        <v/>
      </c>
      <c r="B21" s="71">
        <f>SUMIFS(tbl_Ventas[Ganancia],tbl_Ventas[Fecha],A21)</f>
        <v/>
      </c>
    </row>
    <row r="22">
      <c r="A22" s="72">
        <f>TODAY()-88</f>
        <v/>
      </c>
      <c r="B22" s="71">
        <f>SUMIFS(tbl_Ventas[Ganancia],tbl_Ventas[Fecha],A22)</f>
        <v/>
      </c>
    </row>
    <row r="23">
      <c r="A23" s="72">
        <f>TODAY()-87</f>
        <v/>
      </c>
      <c r="B23" s="71">
        <f>SUMIFS(tbl_Ventas[Ganancia],tbl_Ventas[Fecha],A23)</f>
        <v/>
      </c>
    </row>
    <row r="24">
      <c r="A24" s="72">
        <f>TODAY()-86</f>
        <v/>
      </c>
      <c r="B24" s="71">
        <f>SUMIFS(tbl_Ventas[Ganancia],tbl_Ventas[Fecha],A24)</f>
        <v/>
      </c>
    </row>
    <row r="25">
      <c r="A25" s="72">
        <f>TODAY()-85</f>
        <v/>
      </c>
      <c r="B25" s="71">
        <f>SUMIFS(tbl_Ventas[Ganancia],tbl_Ventas[Fecha],A25)</f>
        <v/>
      </c>
    </row>
    <row r="26">
      <c r="A26" s="72">
        <f>TODAY()-84</f>
        <v/>
      </c>
      <c r="B26" s="71">
        <f>SUMIFS(tbl_Ventas[Ganancia],tbl_Ventas[Fecha],A26)</f>
        <v/>
      </c>
    </row>
    <row r="27">
      <c r="A27" s="72">
        <f>TODAY()-83</f>
        <v/>
      </c>
      <c r="B27" s="71">
        <f>SUMIFS(tbl_Ventas[Ganancia],tbl_Ventas[Fecha],A27)</f>
        <v/>
      </c>
    </row>
    <row r="28">
      <c r="A28" s="72">
        <f>TODAY()-82</f>
        <v/>
      </c>
      <c r="B28" s="71">
        <f>SUMIFS(tbl_Ventas[Ganancia],tbl_Ventas[Fecha],A28)</f>
        <v/>
      </c>
    </row>
    <row r="29">
      <c r="A29" s="72">
        <f>TODAY()-81</f>
        <v/>
      </c>
      <c r="B29" s="71">
        <f>SUMIFS(tbl_Ventas[Ganancia],tbl_Ventas[Fecha],A29)</f>
        <v/>
      </c>
    </row>
    <row r="30">
      <c r="A30" s="72">
        <f>TODAY()-80</f>
        <v/>
      </c>
      <c r="B30" s="71">
        <f>SUMIFS(tbl_Ventas[Ganancia],tbl_Ventas[Fecha],A30)</f>
        <v/>
      </c>
    </row>
    <row r="31">
      <c r="A31" s="72">
        <f>TODAY()-79</f>
        <v/>
      </c>
      <c r="B31" s="71">
        <f>SUMIFS(tbl_Ventas[Ganancia],tbl_Ventas[Fecha],A31)</f>
        <v/>
      </c>
    </row>
    <row r="32">
      <c r="A32" s="72">
        <f>TODAY()-78</f>
        <v/>
      </c>
      <c r="B32" s="71">
        <f>SUMIFS(tbl_Ventas[Ganancia],tbl_Ventas[Fecha],A32)</f>
        <v/>
      </c>
    </row>
    <row r="33">
      <c r="A33" s="72">
        <f>TODAY()-77</f>
        <v/>
      </c>
      <c r="B33" s="71">
        <f>SUMIFS(tbl_Ventas[Ganancia],tbl_Ventas[Fecha],A33)</f>
        <v/>
      </c>
    </row>
    <row r="34">
      <c r="A34" s="72">
        <f>TODAY()-76</f>
        <v/>
      </c>
      <c r="B34" s="71">
        <f>SUMIFS(tbl_Ventas[Ganancia],tbl_Ventas[Fecha],A34)</f>
        <v/>
      </c>
    </row>
    <row r="35">
      <c r="A35" s="72">
        <f>TODAY()-75</f>
        <v/>
      </c>
      <c r="B35" s="71">
        <f>SUMIFS(tbl_Ventas[Ganancia],tbl_Ventas[Fecha],A35)</f>
        <v/>
      </c>
    </row>
    <row r="36">
      <c r="A36" s="72">
        <f>TODAY()-74</f>
        <v/>
      </c>
      <c r="B36" s="71">
        <f>SUMIFS(tbl_Ventas[Ganancia],tbl_Ventas[Fecha],A36)</f>
        <v/>
      </c>
    </row>
    <row r="37">
      <c r="A37" s="72">
        <f>TODAY()-73</f>
        <v/>
      </c>
      <c r="B37" s="71">
        <f>SUMIFS(tbl_Ventas[Ganancia],tbl_Ventas[Fecha],A37)</f>
        <v/>
      </c>
    </row>
    <row r="38">
      <c r="A38" s="72">
        <f>TODAY()-72</f>
        <v/>
      </c>
      <c r="B38" s="71">
        <f>SUMIFS(tbl_Ventas[Ganancia],tbl_Ventas[Fecha],A38)</f>
        <v/>
      </c>
    </row>
    <row r="39">
      <c r="A39" s="72">
        <f>TODAY()-71</f>
        <v/>
      </c>
      <c r="B39" s="71">
        <f>SUMIFS(tbl_Ventas[Ganancia],tbl_Ventas[Fecha],A39)</f>
        <v/>
      </c>
    </row>
    <row r="40">
      <c r="A40" s="72">
        <f>TODAY()-70</f>
        <v/>
      </c>
      <c r="B40" s="71">
        <f>SUMIFS(tbl_Ventas[Ganancia],tbl_Ventas[Fecha],A40)</f>
        <v/>
      </c>
    </row>
    <row r="41">
      <c r="A41" s="72">
        <f>TODAY()-69</f>
        <v/>
      </c>
      <c r="B41" s="71">
        <f>SUMIFS(tbl_Ventas[Ganancia],tbl_Ventas[Fecha],A41)</f>
        <v/>
      </c>
    </row>
    <row r="42">
      <c r="A42" s="72">
        <f>TODAY()-68</f>
        <v/>
      </c>
      <c r="B42" s="71">
        <f>SUMIFS(tbl_Ventas[Ganancia],tbl_Ventas[Fecha],A42)</f>
        <v/>
      </c>
    </row>
    <row r="43">
      <c r="A43" s="72">
        <f>TODAY()-67</f>
        <v/>
      </c>
      <c r="B43" s="71">
        <f>SUMIFS(tbl_Ventas[Ganancia],tbl_Ventas[Fecha],A43)</f>
        <v/>
      </c>
    </row>
    <row r="44">
      <c r="A44" s="72">
        <f>TODAY()-66</f>
        <v/>
      </c>
      <c r="B44" s="71">
        <f>SUMIFS(tbl_Ventas[Ganancia],tbl_Ventas[Fecha],A44)</f>
        <v/>
      </c>
    </row>
    <row r="45">
      <c r="A45" s="72">
        <f>TODAY()-65</f>
        <v/>
      </c>
      <c r="B45" s="71">
        <f>SUMIFS(tbl_Ventas[Ganancia],tbl_Ventas[Fecha],A45)</f>
        <v/>
      </c>
    </row>
    <row r="46">
      <c r="A46" s="72">
        <f>TODAY()-64</f>
        <v/>
      </c>
      <c r="B46" s="71">
        <f>SUMIFS(tbl_Ventas[Ganancia],tbl_Ventas[Fecha],A46)</f>
        <v/>
      </c>
    </row>
    <row r="47">
      <c r="A47" s="72">
        <f>TODAY()-63</f>
        <v/>
      </c>
      <c r="B47" s="71">
        <f>SUMIFS(tbl_Ventas[Ganancia],tbl_Ventas[Fecha],A47)</f>
        <v/>
      </c>
    </row>
    <row r="48">
      <c r="A48" s="72">
        <f>TODAY()-62</f>
        <v/>
      </c>
      <c r="B48" s="71">
        <f>SUMIFS(tbl_Ventas[Ganancia],tbl_Ventas[Fecha],A48)</f>
        <v/>
      </c>
    </row>
    <row r="49">
      <c r="A49" s="72">
        <f>TODAY()-61</f>
        <v/>
      </c>
      <c r="B49" s="71">
        <f>SUMIFS(tbl_Ventas[Ganancia],tbl_Ventas[Fecha],A49)</f>
        <v/>
      </c>
    </row>
    <row r="50">
      <c r="A50" s="72">
        <f>TODAY()-60</f>
        <v/>
      </c>
      <c r="B50" s="71">
        <f>SUMIFS(tbl_Ventas[Ganancia],tbl_Ventas[Fecha],A50)</f>
        <v/>
      </c>
    </row>
    <row r="51">
      <c r="A51" s="72">
        <f>TODAY()-59</f>
        <v/>
      </c>
      <c r="B51" s="71">
        <f>SUMIFS(tbl_Ventas[Ganancia],tbl_Ventas[Fecha],A51)</f>
        <v/>
      </c>
    </row>
    <row r="52">
      <c r="A52" s="72">
        <f>TODAY()-58</f>
        <v/>
      </c>
      <c r="B52" s="71">
        <f>SUMIFS(tbl_Ventas[Ganancia],tbl_Ventas[Fecha],A52)</f>
        <v/>
      </c>
    </row>
    <row r="53">
      <c r="A53" s="72">
        <f>TODAY()-57</f>
        <v/>
      </c>
      <c r="B53" s="71">
        <f>SUMIFS(tbl_Ventas[Ganancia],tbl_Ventas[Fecha],A53)</f>
        <v/>
      </c>
    </row>
    <row r="54">
      <c r="A54" s="72">
        <f>TODAY()-56</f>
        <v/>
      </c>
      <c r="B54" s="71">
        <f>SUMIFS(tbl_Ventas[Ganancia],tbl_Ventas[Fecha],A54)</f>
        <v/>
      </c>
    </row>
    <row r="55">
      <c r="A55" s="72">
        <f>TODAY()-55</f>
        <v/>
      </c>
      <c r="B55" s="71">
        <f>SUMIFS(tbl_Ventas[Ganancia],tbl_Ventas[Fecha],A55)</f>
        <v/>
      </c>
    </row>
    <row r="56">
      <c r="A56" s="72">
        <f>TODAY()-54</f>
        <v/>
      </c>
      <c r="B56" s="71">
        <f>SUMIFS(tbl_Ventas[Ganancia],tbl_Ventas[Fecha],A56)</f>
        <v/>
      </c>
    </row>
    <row r="57">
      <c r="A57" s="72">
        <f>TODAY()-53</f>
        <v/>
      </c>
      <c r="B57" s="71">
        <f>SUMIFS(tbl_Ventas[Ganancia],tbl_Ventas[Fecha],A57)</f>
        <v/>
      </c>
    </row>
    <row r="58">
      <c r="A58" s="72">
        <f>TODAY()-52</f>
        <v/>
      </c>
      <c r="B58" s="71">
        <f>SUMIFS(tbl_Ventas[Ganancia],tbl_Ventas[Fecha],A58)</f>
        <v/>
      </c>
    </row>
    <row r="59">
      <c r="A59" s="72">
        <f>TODAY()-51</f>
        <v/>
      </c>
      <c r="B59" s="71">
        <f>SUMIFS(tbl_Ventas[Ganancia],tbl_Ventas[Fecha],A59)</f>
        <v/>
      </c>
    </row>
    <row r="60">
      <c r="A60" s="72">
        <f>TODAY()-50</f>
        <v/>
      </c>
      <c r="B60" s="71">
        <f>SUMIFS(tbl_Ventas[Ganancia],tbl_Ventas[Fecha],A60)</f>
        <v/>
      </c>
    </row>
    <row r="61">
      <c r="A61" s="72">
        <f>TODAY()-49</f>
        <v/>
      </c>
      <c r="B61" s="71">
        <f>SUMIFS(tbl_Ventas[Ganancia],tbl_Ventas[Fecha],A61)</f>
        <v/>
      </c>
    </row>
    <row r="62">
      <c r="A62" s="72">
        <f>TODAY()-48</f>
        <v/>
      </c>
      <c r="B62" s="71">
        <f>SUMIFS(tbl_Ventas[Ganancia],tbl_Ventas[Fecha],A62)</f>
        <v/>
      </c>
    </row>
    <row r="63">
      <c r="A63" s="72">
        <f>TODAY()-47</f>
        <v/>
      </c>
      <c r="B63" s="71">
        <f>SUMIFS(tbl_Ventas[Ganancia],tbl_Ventas[Fecha],A63)</f>
        <v/>
      </c>
    </row>
    <row r="64">
      <c r="A64" s="72">
        <f>TODAY()-46</f>
        <v/>
      </c>
      <c r="B64" s="71">
        <f>SUMIFS(tbl_Ventas[Ganancia],tbl_Ventas[Fecha],A64)</f>
        <v/>
      </c>
    </row>
    <row r="65">
      <c r="A65" s="72">
        <f>TODAY()-45</f>
        <v/>
      </c>
      <c r="B65" s="71">
        <f>SUMIFS(tbl_Ventas[Ganancia],tbl_Ventas[Fecha],A65)</f>
        <v/>
      </c>
    </row>
    <row r="66">
      <c r="A66" s="72">
        <f>TODAY()-44</f>
        <v/>
      </c>
      <c r="B66" s="71">
        <f>SUMIFS(tbl_Ventas[Ganancia],tbl_Ventas[Fecha],A66)</f>
        <v/>
      </c>
    </row>
    <row r="67">
      <c r="A67" s="72">
        <f>TODAY()-43</f>
        <v/>
      </c>
      <c r="B67" s="71">
        <f>SUMIFS(tbl_Ventas[Ganancia],tbl_Ventas[Fecha],A67)</f>
        <v/>
      </c>
    </row>
    <row r="68">
      <c r="A68" s="72">
        <f>TODAY()-42</f>
        <v/>
      </c>
      <c r="B68" s="71">
        <f>SUMIFS(tbl_Ventas[Ganancia],tbl_Ventas[Fecha],A68)</f>
        <v/>
      </c>
    </row>
    <row r="69">
      <c r="A69" s="72">
        <f>TODAY()-41</f>
        <v/>
      </c>
      <c r="B69" s="71">
        <f>SUMIFS(tbl_Ventas[Ganancia],tbl_Ventas[Fecha],A69)</f>
        <v/>
      </c>
    </row>
    <row r="70">
      <c r="A70" s="72">
        <f>TODAY()-40</f>
        <v/>
      </c>
      <c r="B70" s="71">
        <f>SUMIFS(tbl_Ventas[Ganancia],tbl_Ventas[Fecha],A70)</f>
        <v/>
      </c>
    </row>
    <row r="71">
      <c r="A71" s="72">
        <f>TODAY()-39</f>
        <v/>
      </c>
      <c r="B71" s="71">
        <f>SUMIFS(tbl_Ventas[Ganancia],tbl_Ventas[Fecha],A71)</f>
        <v/>
      </c>
    </row>
    <row r="72">
      <c r="A72" s="72">
        <f>TODAY()-38</f>
        <v/>
      </c>
      <c r="B72" s="71">
        <f>SUMIFS(tbl_Ventas[Ganancia],tbl_Ventas[Fecha],A72)</f>
        <v/>
      </c>
    </row>
    <row r="73">
      <c r="A73" s="72">
        <f>TODAY()-37</f>
        <v/>
      </c>
      <c r="B73" s="71">
        <f>SUMIFS(tbl_Ventas[Ganancia],tbl_Ventas[Fecha],A73)</f>
        <v/>
      </c>
    </row>
    <row r="74">
      <c r="A74" s="72">
        <f>TODAY()-36</f>
        <v/>
      </c>
      <c r="B74" s="71">
        <f>SUMIFS(tbl_Ventas[Ganancia],tbl_Ventas[Fecha],A74)</f>
        <v/>
      </c>
    </row>
    <row r="75">
      <c r="A75" s="72">
        <f>TODAY()-35</f>
        <v/>
      </c>
      <c r="B75" s="71">
        <f>SUMIFS(tbl_Ventas[Ganancia],tbl_Ventas[Fecha],A75)</f>
        <v/>
      </c>
    </row>
    <row r="76">
      <c r="A76" s="72">
        <f>TODAY()-34</f>
        <v/>
      </c>
      <c r="B76" s="71">
        <f>SUMIFS(tbl_Ventas[Ganancia],tbl_Ventas[Fecha],A76)</f>
        <v/>
      </c>
    </row>
    <row r="77">
      <c r="A77" s="72">
        <f>TODAY()-33</f>
        <v/>
      </c>
      <c r="B77" s="71">
        <f>SUMIFS(tbl_Ventas[Ganancia],tbl_Ventas[Fecha],A77)</f>
        <v/>
      </c>
    </row>
    <row r="78">
      <c r="A78" s="72">
        <f>TODAY()-32</f>
        <v/>
      </c>
      <c r="B78" s="71">
        <f>SUMIFS(tbl_Ventas[Ganancia],tbl_Ventas[Fecha],A78)</f>
        <v/>
      </c>
    </row>
    <row r="79">
      <c r="A79" s="72">
        <f>TODAY()-31</f>
        <v/>
      </c>
      <c r="B79" s="71">
        <f>SUMIFS(tbl_Ventas[Ganancia],tbl_Ventas[Fecha],A79)</f>
        <v/>
      </c>
    </row>
    <row r="80">
      <c r="A80" s="72">
        <f>TODAY()-30</f>
        <v/>
      </c>
      <c r="B80" s="71">
        <f>SUMIFS(tbl_Ventas[Ganancia],tbl_Ventas[Fecha],A80)</f>
        <v/>
      </c>
    </row>
    <row r="81">
      <c r="A81" s="72">
        <f>TODAY()-29</f>
        <v/>
      </c>
      <c r="B81" s="71">
        <f>SUMIFS(tbl_Ventas[Ganancia],tbl_Ventas[Fecha],A81)</f>
        <v/>
      </c>
    </row>
    <row r="82">
      <c r="A82" s="72">
        <f>TODAY()-28</f>
        <v/>
      </c>
      <c r="B82" s="71">
        <f>SUMIFS(tbl_Ventas[Ganancia],tbl_Ventas[Fecha],A82)</f>
        <v/>
      </c>
    </row>
    <row r="83">
      <c r="A83" s="72">
        <f>TODAY()-27</f>
        <v/>
      </c>
      <c r="B83" s="71">
        <f>SUMIFS(tbl_Ventas[Ganancia],tbl_Ventas[Fecha],A83)</f>
        <v/>
      </c>
    </row>
    <row r="84">
      <c r="A84" s="72">
        <f>TODAY()-26</f>
        <v/>
      </c>
      <c r="B84" s="71">
        <f>SUMIFS(tbl_Ventas[Ganancia],tbl_Ventas[Fecha],A84)</f>
        <v/>
      </c>
    </row>
    <row r="85">
      <c r="A85" s="72">
        <f>TODAY()-25</f>
        <v/>
      </c>
      <c r="B85" s="71">
        <f>SUMIFS(tbl_Ventas[Ganancia],tbl_Ventas[Fecha],A85)</f>
        <v/>
      </c>
    </row>
    <row r="86">
      <c r="A86" s="72">
        <f>TODAY()-24</f>
        <v/>
      </c>
      <c r="B86" s="71">
        <f>SUMIFS(tbl_Ventas[Ganancia],tbl_Ventas[Fecha],A86)</f>
        <v/>
      </c>
    </row>
    <row r="87">
      <c r="A87" s="72">
        <f>TODAY()-23</f>
        <v/>
      </c>
      <c r="B87" s="71">
        <f>SUMIFS(tbl_Ventas[Ganancia],tbl_Ventas[Fecha],A87)</f>
        <v/>
      </c>
    </row>
    <row r="88">
      <c r="A88" s="72">
        <f>TODAY()-22</f>
        <v/>
      </c>
      <c r="B88" s="71">
        <f>SUMIFS(tbl_Ventas[Ganancia],tbl_Ventas[Fecha],A88)</f>
        <v/>
      </c>
    </row>
    <row r="89">
      <c r="A89" s="72">
        <f>TODAY()-21</f>
        <v/>
      </c>
      <c r="B89" s="71">
        <f>SUMIFS(tbl_Ventas[Ganancia],tbl_Ventas[Fecha],A89)</f>
        <v/>
      </c>
    </row>
    <row r="90">
      <c r="A90" s="72">
        <f>TODAY()-20</f>
        <v/>
      </c>
      <c r="B90" s="71">
        <f>SUMIFS(tbl_Ventas[Ganancia],tbl_Ventas[Fecha],A90)</f>
        <v/>
      </c>
    </row>
    <row r="91">
      <c r="A91" s="72">
        <f>TODAY()-19</f>
        <v/>
      </c>
      <c r="B91" s="71">
        <f>SUMIFS(tbl_Ventas[Ganancia],tbl_Ventas[Fecha],A91)</f>
        <v/>
      </c>
    </row>
    <row r="92">
      <c r="A92" s="72">
        <f>TODAY()-18</f>
        <v/>
      </c>
      <c r="B92" s="71">
        <f>SUMIFS(tbl_Ventas[Ganancia],tbl_Ventas[Fecha],A92)</f>
        <v/>
      </c>
    </row>
    <row r="93">
      <c r="A93" s="72">
        <f>TODAY()-17</f>
        <v/>
      </c>
      <c r="B93" s="71">
        <f>SUMIFS(tbl_Ventas[Ganancia],tbl_Ventas[Fecha],A93)</f>
        <v/>
      </c>
    </row>
    <row r="94">
      <c r="A94" s="72">
        <f>TODAY()-16</f>
        <v/>
      </c>
      <c r="B94" s="71">
        <f>SUMIFS(tbl_Ventas[Ganancia],tbl_Ventas[Fecha],A94)</f>
        <v/>
      </c>
    </row>
    <row r="95">
      <c r="A95" s="72">
        <f>TODAY()-15</f>
        <v/>
      </c>
      <c r="B95" s="71">
        <f>SUMIFS(tbl_Ventas[Ganancia],tbl_Ventas[Fecha],A95)</f>
        <v/>
      </c>
    </row>
    <row r="96">
      <c r="A96" s="72">
        <f>TODAY()-14</f>
        <v/>
      </c>
      <c r="B96" s="71">
        <f>SUMIFS(tbl_Ventas[Ganancia],tbl_Ventas[Fecha],A96)</f>
        <v/>
      </c>
    </row>
    <row r="97">
      <c r="A97" s="72">
        <f>TODAY()-13</f>
        <v/>
      </c>
      <c r="B97" s="71">
        <f>SUMIFS(tbl_Ventas[Ganancia],tbl_Ventas[Fecha],A97)</f>
        <v/>
      </c>
    </row>
    <row r="98">
      <c r="A98" s="72">
        <f>TODAY()-12</f>
        <v/>
      </c>
      <c r="B98" s="71">
        <f>SUMIFS(tbl_Ventas[Ganancia],tbl_Ventas[Fecha],A98)</f>
        <v/>
      </c>
    </row>
    <row r="99">
      <c r="A99" s="72">
        <f>TODAY()-11</f>
        <v/>
      </c>
      <c r="B99" s="71">
        <f>SUMIFS(tbl_Ventas[Ganancia],tbl_Ventas[Fecha],A99)</f>
        <v/>
      </c>
    </row>
    <row r="100">
      <c r="A100" s="72">
        <f>TODAY()-10</f>
        <v/>
      </c>
      <c r="B100" s="71">
        <f>SUMIFS(tbl_Ventas[Ganancia],tbl_Ventas[Fecha],A100)</f>
        <v/>
      </c>
    </row>
    <row r="101">
      <c r="A101" s="72">
        <f>TODAY()-9</f>
        <v/>
      </c>
      <c r="B101" s="71">
        <f>SUMIFS(tbl_Ventas[Ganancia],tbl_Ventas[Fecha],A101)</f>
        <v/>
      </c>
    </row>
    <row r="102">
      <c r="A102" s="72">
        <f>TODAY()-8</f>
        <v/>
      </c>
      <c r="B102" s="71">
        <f>SUMIFS(tbl_Ventas[Ganancia],tbl_Ventas[Fecha],A102)</f>
        <v/>
      </c>
    </row>
    <row r="103">
      <c r="A103" s="72">
        <f>TODAY()-7</f>
        <v/>
      </c>
      <c r="B103" s="71">
        <f>SUMIFS(tbl_Ventas[Ganancia],tbl_Ventas[Fecha],A103)</f>
        <v/>
      </c>
    </row>
    <row r="104">
      <c r="A104" s="72">
        <f>TODAY()-6</f>
        <v/>
      </c>
      <c r="B104" s="71">
        <f>SUMIFS(tbl_Ventas[Ganancia],tbl_Ventas[Fecha],A104)</f>
        <v/>
      </c>
    </row>
    <row r="105">
      <c r="A105" s="72">
        <f>TODAY()-5</f>
        <v/>
      </c>
      <c r="B105" s="71">
        <f>SUMIFS(tbl_Ventas[Ganancia],tbl_Ventas[Fecha],A105)</f>
        <v/>
      </c>
    </row>
    <row r="106">
      <c r="A106" s="72">
        <f>TODAY()-4</f>
        <v/>
      </c>
      <c r="B106" s="71">
        <f>SUMIFS(tbl_Ventas[Ganancia],tbl_Ventas[Fecha],A106)</f>
        <v/>
      </c>
    </row>
    <row r="107">
      <c r="A107" s="72">
        <f>TODAY()-3</f>
        <v/>
      </c>
      <c r="B107" s="71">
        <f>SUMIFS(tbl_Ventas[Ganancia],tbl_Ventas[Fecha],A107)</f>
        <v/>
      </c>
    </row>
    <row r="108">
      <c r="A108" s="72">
        <f>TODAY()-2</f>
        <v/>
      </c>
      <c r="B108" s="71">
        <f>SUMIFS(tbl_Ventas[Ganancia],tbl_Ventas[Fecha],A108)</f>
        <v/>
      </c>
    </row>
    <row r="109">
      <c r="A109" s="72">
        <f>TODAY()-1</f>
        <v/>
      </c>
      <c r="B109" s="71">
        <f>SUMIFS(tbl_Ventas[Ganancia],tbl_Ventas[Fecha],A109)</f>
        <v/>
      </c>
    </row>
    <row r="110">
      <c r="A110" s="72">
        <f>TODAY()-0</f>
        <v/>
      </c>
      <c r="B110" s="71">
        <f>SUMIFS(tbl_Ventas[Ganancia],tbl_Ventas[Fecha],A110)</f>
        <v/>
      </c>
    </row>
    <row r="112">
      <c r="A112" t="inlineStr">
        <is>
          <t>Ganancia diaria máxima histórica</t>
        </is>
      </c>
      <c r="B112">
        <f>MAX(Obj_HistorialDiario)</f>
        <v/>
      </c>
    </row>
    <row r="113">
      <c r="A113" t="inlineStr">
        <is>
          <t>Días desde la primera venta</t>
        </is>
      </c>
      <c r="B113">
        <f>IF(COUNTA(tbl_Ventas[Fecha])=0,0,TODAY()-MIN(tbl_Ventas[Fecha]))</f>
        <v/>
      </c>
    </row>
    <row r="114">
      <c r="A114" t="inlineStr">
        <is>
          <t>Factibilidad</t>
        </is>
      </c>
      <c r="B114">
        <f>IF(COUNTA(tbl_Ventas[Fecha])=0,Txt_SinVentas,IF(Obj_DiasDesdePrimeraVenta&lt;14,Txt_FaltaHistorial,IF(Obj_GananciaObjetivo&lt;=Obj_GananciaActual,Txt_ObjetivoAlcanzado,IF(Obj_GananciaDiariaNecesaria&lt;=Obj_GananciaDiariaMaximaHistorica,"✅ Factible según tu historial","🚀 Ambicioso según tu historial"))))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10" customWidth="1" min="4" max="4"/>
    <col width="8" customWidth="1" min="5" max="5"/>
  </cols>
  <sheetData>
    <row r="1">
      <c r="A1" s="70" t="inlineStr">
        <is>
          <t>RuleID</t>
        </is>
      </c>
      <c r="B1" s="70" t="inlineStr">
        <is>
          <t>Condición</t>
        </is>
      </c>
      <c r="C1" s="70" t="inlineStr">
        <is>
          <t>Plantilla</t>
        </is>
      </c>
      <c r="D1" s="70" t="inlineStr">
        <is>
          <t>Prioridad</t>
        </is>
      </c>
      <c r="E1" s="70" t="inlineStr">
        <is>
          <t>Activa</t>
        </is>
      </c>
    </row>
    <row r="2">
      <c r="A2" t="inlineStr">
        <is>
          <t>R0</t>
        </is>
      </c>
      <c r="B2">
        <f>COUNTA(tbl_Ventas[Fecha])&lt;5</f>
        <v/>
      </c>
      <c r="C2" t="inlineStr">
        <is>
          <t>Agregá más datos para obtener insights.</t>
        </is>
      </c>
      <c r="D2" t="n">
        <v>0</v>
      </c>
      <c r="E2" t="b">
        <v>1</v>
      </c>
    </row>
    <row r="3">
      <c r="A3" t="inlineStr">
        <is>
          <t>R1</t>
        </is>
      </c>
      <c r="B3">
        <f>IF(AND(ISNUMBER(KPI_MargenReal),ISNUMBER(KPI_MargenReal_Ant)),(KPI_MargenReal_Ant-KPI_MargenReal)&gt;0.02,FALSE)</f>
        <v/>
      </c>
      <c r="C3" t="inlineStr">
        <is>
          <t>⚠️ Tu margen cayó {delta} este mes.</t>
        </is>
      </c>
      <c r="D3" t="n">
        <v>1</v>
      </c>
      <c r="E3" t="b">
        <v>1</v>
      </c>
    </row>
    <row r="4">
      <c r="A4" t="inlineStr">
        <is>
          <t>R2</t>
        </is>
      </c>
      <c r="B4">
        <f>IF(SUM(tbl_Productos[Ganancia total])&gt;0,MAX(tbl_Productos[Ganancia total])/SUM(tbl_Productos[Ganancia total])&gt;0.5,FALSE)</f>
        <v/>
      </c>
      <c r="C4" t="inlineStr">
        <is>
          <t>🔥 {producto} genera la mayor parte de tu ganancia.</t>
        </is>
      </c>
      <c r="D4" t="n">
        <v>2</v>
      </c>
      <c r="E4" t="b">
        <v>1</v>
      </c>
    </row>
    <row r="5">
      <c r="A5" t="inlineStr">
        <is>
          <t>R3</t>
        </is>
      </c>
      <c r="B5">
        <f>IF(AND(ISNUMBER(Ins_ValorVentasDelta),ISNUMBER(Ins_ValorGananciaDelta)),(Ins_ValorVentasDelta-Ins_ValorGananciaDelta)&gt;0.1,FALSE)</f>
        <v/>
      </c>
      <c r="C5" t="inlineStr">
        <is>
          <t>📈 Tus ventas aumentaron {ventasDelta}, pero tu ganancia solo aumentó {gananciaDelta}.</t>
        </is>
      </c>
      <c r="D5" t="n">
        <v>2</v>
      </c>
      <c r="E5" t="b">
        <v>1</v>
      </c>
    </row>
    <row r="6">
      <c r="A6" t="inlineStr">
        <is>
          <t>R4</t>
        </is>
      </c>
      <c r="B6">
        <f>AND(Obj_GananciaObjetivo&gt;0,Obj_Restante&gt;0)</f>
        <v/>
      </c>
      <c r="C6" t="inlineStr">
        <is>
          <t>🎯 Te faltan {restante} de ganancia para alcanzar tu objetivo.</t>
        </is>
      </c>
      <c r="D6" t="n">
        <v>3</v>
      </c>
      <c r="E6" t="b">
        <v>1</v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Valor</t>
        </is>
      </c>
    </row>
    <row r="2">
      <c r="A2" t="inlineStr">
        <is>
          <t>{delta}</t>
        </is>
      </c>
      <c r="B2">
        <f>IFERROR(TEXT(ABS(KPI_MargenReal-KPI_MargenReal_Ant),"0,0%"),"")</f>
        <v/>
      </c>
    </row>
    <row r="3">
      <c r="A3" t="inlineStr">
        <is>
          <t>{producto}</t>
        </is>
      </c>
      <c r="B3">
        <f>IF(COUNTA(tbl_Productos[Producto])=0,"",INDEX(tbl_Productos[Producto],MATCH(MAX(tbl_Productos[Ganancia total]),tbl_Productos[Ganancia total],0)))</f>
        <v/>
      </c>
    </row>
    <row r="4">
      <c r="A4" t="inlineStr">
        <is>
          <t>ventasDelta (numérico)</t>
        </is>
      </c>
      <c r="B4">
        <f>IFERROR((KPI_VentasPeriodo-KPI_VentasPeriodo_Ant)/KPI_VentasPeriodo_Ant,"")</f>
        <v/>
      </c>
    </row>
    <row r="5">
      <c r="A5" t="inlineStr">
        <is>
          <t>{ventasDelta}</t>
        </is>
      </c>
      <c r="B5">
        <f>IFERROR(TEXT(Ins_ValorVentasDelta,"0,0%"),"")</f>
        <v/>
      </c>
    </row>
    <row r="6">
      <c r="A6" t="inlineStr">
        <is>
          <t>gananciaDelta (numérico)</t>
        </is>
      </c>
      <c r="B6">
        <f>IFERROR((KPI_GananciaReal-KPI_GananciaReal_Ant)/ABS(KPI_GananciaReal_Ant),"")</f>
        <v/>
      </c>
    </row>
    <row r="7">
      <c r="A7" t="inlineStr">
        <is>
          <t>{gananciaDelta}</t>
        </is>
      </c>
      <c r="B7">
        <f>IFERROR(TEXT(Ins_ValorGananciaDelta,"0,0%"),"")</f>
        <v/>
      </c>
    </row>
    <row r="8">
      <c r="A8" t="inlineStr">
        <is>
          <t>{restante}</t>
        </is>
      </c>
      <c r="B8">
        <f>Cfg_Moneda&amp;TEXT(Obj_Restante,"#,##0")</f>
        <v/>
      </c>
    </row>
    <row r="11">
      <c r="A11" t="inlineStr">
        <is>
          <t>Ranking de reglas activas</t>
        </is>
      </c>
    </row>
    <row r="12">
      <c r="A12" t="inlineStr">
        <is>
          <t>RuleID</t>
        </is>
      </c>
      <c r="B12" t="inlineStr">
        <is>
          <t>Clave de orden</t>
        </is>
      </c>
      <c r="C12" t="inlineStr">
        <is>
          <t>Texto resuelto</t>
        </is>
      </c>
    </row>
    <row r="13">
      <c r="A13">
        <f>'_Insights_Rules'!A2</f>
        <v/>
      </c>
      <c r="B13">
        <f>IF(AND('_Insights_Rules'!E2=TRUE,'_Insights_Rules'!B2=TRUE),'_Insights_Rules'!D2*100+2,999999)</f>
        <v/>
      </c>
      <c r="C13">
        <f>SUBSTITUTE(SUBSTITUTE(SUBSTITUTE(SUBSTITUTE(SUBSTITUTE('_Insights_Rules'!C2,"{delta}",Ins_Delta),"{producto}",Ins_Producto),"{ventasDelta}",Ins_VentasDelta),"{gananciaDelta}",Ins_GananciaDelta),"{restante}",Ins_Restante)</f>
        <v/>
      </c>
    </row>
    <row r="14">
      <c r="A14">
        <f>'_Insights_Rules'!A3</f>
        <v/>
      </c>
      <c r="B14">
        <f>IF(AND('_Insights_Rules'!E3=TRUE,'_Insights_Rules'!B3=TRUE),'_Insights_Rules'!D3*100+3,999999)</f>
        <v/>
      </c>
      <c r="C14">
        <f>SUBSTITUTE(SUBSTITUTE(SUBSTITUTE(SUBSTITUTE(SUBSTITUTE('_Insights_Rules'!C3,"{delta}",Ins_Delta),"{producto}",Ins_Producto),"{ventasDelta}",Ins_VentasDelta),"{gananciaDelta}",Ins_GananciaDelta),"{restante}",Ins_Restante)</f>
        <v/>
      </c>
    </row>
    <row r="15">
      <c r="A15">
        <f>'_Insights_Rules'!A4</f>
        <v/>
      </c>
      <c r="B15">
        <f>IF(AND('_Insights_Rules'!E4=TRUE,'_Insights_Rules'!B4=TRUE),'_Insights_Rules'!D4*100+4,999999)</f>
        <v/>
      </c>
      <c r="C15">
        <f>SUBSTITUTE(SUBSTITUTE(SUBSTITUTE(SUBSTITUTE(SUBSTITUTE('_Insights_Rules'!C4,"{delta}",Ins_Delta),"{producto}",Ins_Producto),"{ventasDelta}",Ins_VentasDelta),"{gananciaDelta}",Ins_GananciaDelta),"{restante}",Ins_Restante)</f>
        <v/>
      </c>
    </row>
    <row r="16">
      <c r="A16">
        <f>'_Insights_Rules'!A5</f>
        <v/>
      </c>
      <c r="B16">
        <f>IF(AND('_Insights_Rules'!E5=TRUE,'_Insights_Rules'!B5=TRUE),'_Insights_Rules'!D5*100+5,999999)</f>
        <v/>
      </c>
      <c r="C16">
        <f>SUBSTITUTE(SUBSTITUTE(SUBSTITUTE(SUBSTITUTE(SUBSTITUTE('_Insights_Rules'!C5,"{delta}",Ins_Delta),"{producto}",Ins_Producto),"{ventasDelta}",Ins_VentasDelta),"{gananciaDelta}",Ins_GananciaDelta),"{restante}",Ins_Restante)</f>
        <v/>
      </c>
    </row>
    <row r="17">
      <c r="A17">
        <f>'_Insights_Rules'!A6</f>
        <v/>
      </c>
      <c r="B17">
        <f>IF(AND('_Insights_Rules'!E6=TRUE,'_Insights_Rules'!B6=TRUE),'_Insights_Rules'!D6*100+6,999999)</f>
        <v/>
      </c>
      <c r="C17">
        <f>SUBSTITUTE(SUBSTITUTE(SUBSTITUTE(SUBSTITUTE(SUBSTITUTE('_Insights_Rules'!C6,"{delta}",Ins_Delta),"{producto}",Ins_Producto),"{ventasDelta}",Ins_VentasDelta),"{gananciaDelta}",Ins_GananciaDelta),"{restante}",Ins_Restante)</f>
        <v/>
      </c>
    </row>
    <row r="18">
      <c r="A18" t="inlineStr">
        <is>
          <t>R0 activa (fallback)</t>
        </is>
      </c>
      <c r="B18">
        <f>'_Insights_Rules'!B2</f>
        <v/>
      </c>
    </row>
    <row r="19">
      <c r="A19" t="inlineStr">
        <is>
          <t>Salida final (hasta 4)</t>
        </is>
      </c>
    </row>
    <row r="20">
      <c r="A20" t="inlineStr">
        <is>
          <t>Ins_Texto1</t>
        </is>
      </c>
      <c r="B20">
        <f>IF(Ins_R0Activa=TRUE,IF(1=1,C13,""),IF(SMALL($B$13:$B$17,1)=999999,"",INDEX($C$13:$C$17,MATCH(SMALL($B$13:$B$17,1),$B$13:$B$17,0))))</f>
        <v/>
      </c>
    </row>
    <row r="21">
      <c r="A21" t="inlineStr">
        <is>
          <t>Ins_Texto2</t>
        </is>
      </c>
      <c r="B21">
        <f>IF(Ins_R0Activa=TRUE,IF(2=1,C13,""),IF(SMALL($B$13:$B$17,2)=999999,"",INDEX($C$13:$C$17,MATCH(SMALL($B$13:$B$17,2),$B$13:$B$17,0))))</f>
        <v/>
      </c>
    </row>
    <row r="22">
      <c r="A22" t="inlineStr">
        <is>
          <t>Ins_Texto3</t>
        </is>
      </c>
      <c r="B22">
        <f>IF(Ins_R0Activa=TRUE,IF(3=1,C13,""),IF(SMALL($B$13:$B$17,3)=999999,"",INDEX($C$13:$C$17,MATCH(SMALL($B$13:$B$17,3),$B$13:$B$17,0))))</f>
        <v/>
      </c>
    </row>
    <row r="23">
      <c r="A23" t="inlineStr">
        <is>
          <t>Ins_Texto4</t>
        </is>
      </c>
      <c r="B23">
        <f>IF(Ins_R0Activa=TRUE,IF(4=1,C13,""),IF(SMALL($B$13:$B$17,4)=999999,"",INDEX($C$13:$C$17,MATCH(SMALL($B$13:$B$17,4),$B$13:$B$17,0))))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Datos suficientes</t>
        </is>
      </c>
      <c r="B2">
        <f>KPI_CantidadVentas&gt;=1</f>
        <v/>
      </c>
    </row>
    <row r="4">
      <c r="A4" t="inlineStr">
        <is>
          <t>Ventas</t>
        </is>
      </c>
      <c r="B4">
        <f>KPI_VentasPeriodo</f>
        <v/>
      </c>
    </row>
    <row r="5">
      <c r="A5" t="inlineStr">
        <is>
          <t>Costos de venta</t>
        </is>
      </c>
      <c r="B5">
        <f>KPI_CostosVentaPeriodo</f>
        <v/>
      </c>
    </row>
    <row r="6">
      <c r="A6" t="inlineStr">
        <is>
          <t>Ganancia de productos</t>
        </is>
      </c>
      <c r="B6">
        <f>KPI_GananciaProductos</f>
        <v/>
      </c>
    </row>
    <row r="7">
      <c r="A7" t="inlineStr">
        <is>
          <t>Gastos</t>
        </is>
      </c>
      <c r="B7">
        <f>KPI_GastosPeriodo</f>
        <v/>
      </c>
    </row>
    <row r="8">
      <c r="A8" t="inlineStr">
        <is>
          <t>Ganancia real</t>
        </is>
      </c>
      <c r="B8">
        <f>KPI_GananciaReal</f>
        <v/>
      </c>
    </row>
    <row r="9">
      <c r="A9" t="inlineStr">
        <is>
          <t>Margen</t>
        </is>
      </c>
      <c r="B9">
        <f>KPI_MargenReal</f>
        <v/>
      </c>
    </row>
    <row r="10">
      <c r="A10" t="inlineStr">
        <is>
          <t>Cantidad de ventas</t>
        </is>
      </c>
      <c r="B10">
        <f>KPI_CantidadVentas</f>
        <v/>
      </c>
    </row>
    <row r="13">
      <c r="A13" t="inlineStr">
        <is>
          <t>Escenario A</t>
        </is>
      </c>
    </row>
    <row r="14">
      <c r="A14" t="inlineStr">
        <is>
          <t>Ventas proyectadas</t>
        </is>
      </c>
      <c r="B14">
        <f>IF(NOT(Sim_DatosSuficientes),Txt_FaltaHistorial,Sim_Base_Ventas*(1+Sim_A_DeltaVentas)*(1+Sim_A_DeltaPrecio))</f>
        <v/>
      </c>
    </row>
    <row r="15">
      <c r="A15" t="inlineStr">
        <is>
          <t>Costos de venta proyectados</t>
        </is>
      </c>
      <c r="B15">
        <f>IF(NOT(Sim_DatosSuficientes),Txt_FaltaHistorial,Sim_Base_CostosVenta*(1+Sim_A_DeltaVentas))</f>
        <v/>
      </c>
    </row>
    <row r="16">
      <c r="A16" t="inlineStr">
        <is>
          <t>Margen (por precio)</t>
        </is>
      </c>
      <c r="B16">
        <f>IF(NOT(Sim_DatosSuficientes),Txt_FaltaHistorial,IF(OR(NOT(ISNUMBER(Sim_A_VentasProyectadas)),Sim_A_VentasProyectadas&lt;=0),0,(Sim_A_VentasProyectadas-Sim_A_CostosVentaProyectados)/Sim_A_VentasProyectadas))</f>
        <v/>
      </c>
    </row>
    <row r="17">
      <c r="A17" t="inlineStr">
        <is>
          <t>Margen proyectado (final)</t>
        </is>
      </c>
      <c r="B17">
        <f>IF(NOT(Sim_DatosSuficientes),Txt_FaltaHistorial,MIN(MAX(Sim_A_MargenPorPrecio+Sim_A_DeltaMargen,-2),0.95))</f>
        <v/>
      </c>
    </row>
    <row r="18">
      <c r="A18" t="inlineStr">
        <is>
          <t>Ganancia de productos proyectada</t>
        </is>
      </c>
      <c r="B18">
        <f>IF(NOT(Sim_DatosSuficientes),Txt_FaltaHistorial,Sim_A_VentasProyectadas*Sim_A_MargenProyectado)</f>
        <v/>
      </c>
    </row>
    <row r="19">
      <c r="A19" t="inlineStr">
        <is>
          <t>Gastos proyectados</t>
        </is>
      </c>
      <c r="B19">
        <f>IF(NOT(Sim_DatosSuficientes),Txt_FaltaHistorial,MAX(Sim_Base_Gastos+Sim_A_DeltaGastos+Sim_A_DeltaPublicidad,0))</f>
        <v/>
      </c>
    </row>
    <row r="20">
      <c r="A20" t="inlineStr">
        <is>
          <t>Gastos ajustados a 0 (flag)</t>
        </is>
      </c>
      <c r="B20">
        <f>IF(NOT(Sim_DatosSuficientes),FALSE,(Sim_Base_Gastos+Sim_A_DeltaGastos+Sim_A_DeltaPublicidad)&lt;0)</f>
        <v/>
      </c>
    </row>
    <row r="21">
      <c r="A21" t="inlineStr">
        <is>
          <t>Ganancia real proyectada</t>
        </is>
      </c>
      <c r="B21">
        <f>IF(NOT(Sim_DatosSuficientes),Txt_FaltaHistorial,Sim_A_GananciaProductosProyectada-Sim_A_GastosProyectados)</f>
        <v/>
      </c>
    </row>
    <row r="22">
      <c r="A22" t="inlineStr">
        <is>
          <t>Diferencia</t>
        </is>
      </c>
      <c r="B22">
        <f>IF(NOT(Sim_DatosSuficientes),Txt_FaltaHistorial,Sim_A_GananciaRealProyectada-Sim_Base_GananciaReal)</f>
        <v/>
      </c>
    </row>
    <row r="24">
      <c r="A24" t="inlineStr">
        <is>
          <t>Escenario B</t>
        </is>
      </c>
    </row>
    <row r="25">
      <c r="A25" t="inlineStr">
        <is>
          <t>Ventas proyectadas</t>
        </is>
      </c>
      <c r="B25">
        <f>IF(NOT(Sim_DatosSuficientes),Txt_FaltaHistorial,Sim_Base_Ventas*(1+Sim_B_DeltaVentas)*(1+Sim_B_DeltaPrecio))</f>
        <v/>
      </c>
    </row>
    <row r="26">
      <c r="A26" t="inlineStr">
        <is>
          <t>Costos de venta proyectados</t>
        </is>
      </c>
      <c r="B26">
        <f>IF(NOT(Sim_DatosSuficientes),Txt_FaltaHistorial,Sim_Base_CostosVenta*(1+Sim_B_DeltaVentas))</f>
        <v/>
      </c>
    </row>
    <row r="27">
      <c r="A27" t="inlineStr">
        <is>
          <t>Margen (por precio)</t>
        </is>
      </c>
      <c r="B27">
        <f>IF(NOT(Sim_DatosSuficientes),Txt_FaltaHistorial,IF(OR(NOT(ISNUMBER(Sim_B_VentasProyectadas)),Sim_B_VentasProyectadas&lt;=0),0,(Sim_B_VentasProyectadas-Sim_B_CostosVentaProyectados)/Sim_B_VentasProyectadas))</f>
        <v/>
      </c>
    </row>
    <row r="28">
      <c r="A28" t="inlineStr">
        <is>
          <t>Margen proyectado (final)</t>
        </is>
      </c>
      <c r="B28">
        <f>IF(NOT(Sim_DatosSuficientes),Txt_FaltaHistorial,MIN(MAX(Sim_B_MargenPorPrecio+Sim_B_DeltaMargen,-2),0.95))</f>
        <v/>
      </c>
    </row>
    <row r="29">
      <c r="A29" t="inlineStr">
        <is>
          <t>Ganancia de productos proyectada</t>
        </is>
      </c>
      <c r="B29">
        <f>IF(NOT(Sim_DatosSuficientes),Txt_FaltaHistorial,Sim_B_VentasProyectadas*Sim_B_MargenProyectado)</f>
        <v/>
      </c>
    </row>
    <row r="30">
      <c r="A30" t="inlineStr">
        <is>
          <t>Gastos proyectados</t>
        </is>
      </c>
      <c r="B30">
        <f>IF(NOT(Sim_DatosSuficientes),Txt_FaltaHistorial,MAX(Sim_Base_Gastos+Sim_B_DeltaGastos+Sim_B_DeltaPublicidad,0))</f>
        <v/>
      </c>
    </row>
    <row r="31">
      <c r="A31" t="inlineStr">
        <is>
          <t>Gastos ajustados a 0 (flag)</t>
        </is>
      </c>
      <c r="B31">
        <f>IF(NOT(Sim_DatosSuficientes),FALSE,(Sim_Base_Gastos+Sim_B_DeltaGastos+Sim_B_DeltaPublicidad)&lt;0)</f>
        <v/>
      </c>
    </row>
    <row r="32">
      <c r="A32" t="inlineStr">
        <is>
          <t>Ganancia real proyectada</t>
        </is>
      </c>
      <c r="B32">
        <f>IF(NOT(Sim_DatosSuficientes),Txt_FaltaHistorial,Sim_B_GananciaProductosProyectada-Sim_B_GastosProyectados)</f>
        <v/>
      </c>
    </row>
    <row r="33">
      <c r="A33" t="inlineStr">
        <is>
          <t>Diferencia</t>
        </is>
      </c>
      <c r="B33">
        <f>IF(NOT(Sim_DatosSuficientes),Txt_FaltaHistorial,Sim_B_GananciaRealProyectada-Sim_Base_GananciaReal)</f>
        <v/>
      </c>
    </row>
    <row r="35">
      <c r="A35" t="inlineStr">
        <is>
          <t>Escenario C</t>
        </is>
      </c>
    </row>
    <row r="36">
      <c r="A36" t="inlineStr">
        <is>
          <t>Ventas proyectadas</t>
        </is>
      </c>
      <c r="B36">
        <f>IF(NOT(Sim_DatosSuficientes),Txt_FaltaHistorial,Sim_Base_Ventas*(1+Sim_C_DeltaVentas)*(1+Sim_C_DeltaPrecio))</f>
        <v/>
      </c>
    </row>
    <row r="37">
      <c r="A37" t="inlineStr">
        <is>
          <t>Costos de venta proyectados</t>
        </is>
      </c>
      <c r="B37">
        <f>IF(NOT(Sim_DatosSuficientes),Txt_FaltaHistorial,Sim_Base_CostosVenta*(1+Sim_C_DeltaVentas))</f>
        <v/>
      </c>
    </row>
    <row r="38">
      <c r="A38" t="inlineStr">
        <is>
          <t>Margen (por precio)</t>
        </is>
      </c>
      <c r="B38">
        <f>IF(NOT(Sim_DatosSuficientes),Txt_FaltaHistorial,IF(OR(NOT(ISNUMBER(Sim_C_VentasProyectadas)),Sim_C_VentasProyectadas&lt;=0),0,(Sim_C_VentasProyectadas-Sim_C_CostosVentaProyectados)/Sim_C_VentasProyectadas))</f>
        <v/>
      </c>
    </row>
    <row r="39">
      <c r="A39" t="inlineStr">
        <is>
          <t>Margen proyectado (final)</t>
        </is>
      </c>
      <c r="B39">
        <f>IF(NOT(Sim_DatosSuficientes),Txt_FaltaHistorial,MIN(MAX(Sim_C_MargenPorPrecio+Sim_C_DeltaMargen,-2),0.95))</f>
        <v/>
      </c>
    </row>
    <row r="40">
      <c r="A40" t="inlineStr">
        <is>
          <t>Ganancia de productos proyectada</t>
        </is>
      </c>
      <c r="B40">
        <f>IF(NOT(Sim_DatosSuficientes),Txt_FaltaHistorial,Sim_C_VentasProyectadas*Sim_C_MargenProyectado)</f>
        <v/>
      </c>
    </row>
    <row r="41">
      <c r="A41" t="inlineStr">
        <is>
          <t>Gastos proyectados</t>
        </is>
      </c>
      <c r="B41">
        <f>IF(NOT(Sim_DatosSuficientes),Txt_FaltaHistorial,MAX(Sim_Base_Gastos+Sim_C_DeltaGastos+Sim_C_DeltaPublicidad,0))</f>
        <v/>
      </c>
    </row>
    <row r="42">
      <c r="A42" t="inlineStr">
        <is>
          <t>Gastos ajustados a 0 (flag)</t>
        </is>
      </c>
      <c r="B42">
        <f>IF(NOT(Sim_DatosSuficientes),FALSE,(Sim_Base_Gastos+Sim_C_DeltaGastos+Sim_C_DeltaPublicidad)&lt;0)</f>
        <v/>
      </c>
    </row>
    <row r="43">
      <c r="A43" t="inlineStr">
        <is>
          <t>Ganancia real proyectada</t>
        </is>
      </c>
      <c r="B43">
        <f>IF(NOT(Sim_DatosSuficientes),Txt_FaltaHistorial,Sim_C_GananciaProductosProyectada-Sim_C_GastosProyectados)</f>
        <v/>
      </c>
    </row>
    <row r="44">
      <c r="A44" t="inlineStr">
        <is>
          <t>Diferencia</t>
        </is>
      </c>
      <c r="B44">
        <f>IF(NOT(Sim_DatosSuficientes),Txt_FaltaHistorial,Sim_C_GananciaRealProyectada-Sim_Base_GananciaReal)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Demo · Productos</t>
        </is>
      </c>
    </row>
    <row r="2">
      <c r="B2" s="74" t="inlineStr">
        <is>
          <t>Producto</t>
        </is>
      </c>
      <c r="C2" s="74" t="inlineStr">
        <is>
          <t>Categoría</t>
        </is>
      </c>
      <c r="D2" s="74" t="inlineStr">
        <is>
          <t>Precio de venta</t>
        </is>
      </c>
      <c r="E2" s="74" t="inlineStr">
        <is>
          <t>Costo del producto</t>
        </is>
      </c>
      <c r="F2" s="74" t="inlineStr">
        <is>
          <t>Comisión %</t>
        </is>
      </c>
      <c r="G2" s="74" t="inlineStr">
        <is>
          <t>Packaging</t>
        </is>
      </c>
      <c r="H2" s="74" t="inlineStr">
        <is>
          <t>Envío / costo asociado</t>
        </is>
      </c>
      <c r="I2" s="74" t="inlineStr">
        <is>
          <t>Publicidad atribuida</t>
        </is>
      </c>
      <c r="J2" s="74" t="inlineStr">
        <is>
          <t>Otros costos</t>
        </is>
      </c>
      <c r="K2" s="74" t="inlineStr">
        <is>
          <t>Costo real de venta</t>
        </is>
      </c>
      <c r="L2" s="74" t="inlineStr">
        <is>
          <t>Ganancia por unidad</t>
        </is>
      </c>
      <c r="M2" s="74" t="inlineStr">
        <is>
          <t>Margen</t>
        </is>
      </c>
      <c r="N2" s="74" t="inlineStr">
        <is>
          <t>Unidades vendidas</t>
        </is>
      </c>
      <c r="O2" s="74" t="inlineStr">
        <is>
          <t>Ganancia total</t>
        </is>
      </c>
      <c r="Q2" s="73" t="inlineStr">
        <is>
          <t>Demo · Gastos</t>
        </is>
      </c>
      <c r="W2" s="73" t="inlineStr">
        <is>
          <t>Demo · Objetivos</t>
        </is>
      </c>
    </row>
    <row r="3">
      <c r="B3" t="inlineStr">
        <is>
          <t>Vela aromática grande</t>
        </is>
      </c>
      <c r="C3" t="inlineStr">
        <is>
          <t>Hogar</t>
        </is>
      </c>
      <c r="D3" t="n">
        <v>4500</v>
      </c>
      <c r="E3" t="n">
        <v>1200</v>
      </c>
      <c r="F3" t="n">
        <v>0.08</v>
      </c>
      <c r="G3" t="n">
        <v>150</v>
      </c>
      <c r="H3" t="n">
        <v>0</v>
      </c>
      <c r="I3" t="n">
        <v>200</v>
      </c>
      <c r="J3" t="n">
        <v>50</v>
      </c>
      <c r="K3">
        <f>E3+(D3*F3)+G3+H3+I3+J3</f>
        <v/>
      </c>
      <c r="L3">
        <f>D3-K3</f>
        <v/>
      </c>
      <c r="M3">
        <f>IF(D3=0,"",L3/D3)</f>
        <v/>
      </c>
      <c r="N3" s="75">
        <f>SUMIFS($D$22:$D$132,$C$22:$C$132,B3)</f>
        <v/>
      </c>
      <c r="O3" s="71">
        <f>SUMIFS($L$22:$L$132,$C$22:$C$132,B3)</f>
        <v/>
      </c>
      <c r="Q3" s="74" t="inlineStr">
        <is>
          <t>Fecha</t>
        </is>
      </c>
      <c r="R3" s="74" t="inlineStr">
        <is>
          <t>Categoría</t>
        </is>
      </c>
      <c r="S3" s="74" t="inlineStr">
        <is>
          <t>Descripción</t>
        </is>
      </c>
      <c r="T3" s="74" t="inlineStr">
        <is>
          <t>Importe</t>
        </is>
      </c>
      <c r="U3" s="74" t="inlineStr">
        <is>
          <t>Tipo de gasto</t>
        </is>
      </c>
      <c r="W3" t="inlineStr">
        <is>
          <t>Periodo</t>
        </is>
      </c>
      <c r="X3" t="inlineStr">
        <is>
          <t>Objetivo de ganancia</t>
        </is>
      </c>
    </row>
    <row r="4">
      <c r="B4" t="inlineStr">
        <is>
          <t>Vela aromática chica</t>
        </is>
      </c>
      <c r="C4" t="inlineStr">
        <is>
          <t>Hogar</t>
        </is>
      </c>
      <c r="D4" t="n">
        <v>2200</v>
      </c>
      <c r="E4" t="n">
        <v>600</v>
      </c>
      <c r="F4" t="n">
        <v>0.08</v>
      </c>
      <c r="G4" t="n">
        <v>100</v>
      </c>
      <c r="H4" t="n">
        <v>0</v>
      </c>
      <c r="I4" t="n">
        <v>100</v>
      </c>
      <c r="J4" t="n">
        <v>30</v>
      </c>
      <c r="K4">
        <f>E4+(D4*F4)+G4+H4+I4+J4</f>
        <v/>
      </c>
      <c r="L4">
        <f>D4-K4</f>
        <v/>
      </c>
      <c r="M4">
        <f>IF(D4=0,"",L4/D4)</f>
        <v/>
      </c>
      <c r="N4" s="75">
        <f>SUMIFS($D$22:$D$132,$C$22:$C$132,B4)</f>
        <v/>
      </c>
      <c r="O4" s="71">
        <f>SUMIFS($L$22:$L$132,$C$22:$C$132,B4)</f>
        <v/>
      </c>
      <c r="Q4" s="72" t="n">
        <v>46270</v>
      </c>
      <c r="R4" t="inlineStr">
        <is>
          <t>Software/Suscripciones</t>
        </is>
      </c>
      <c r="S4" t="inlineStr">
        <is>
          <t>Suscripción plataforma de ventas</t>
        </is>
      </c>
      <c r="T4" t="n">
        <v>8500</v>
      </c>
      <c r="U4" t="inlineStr">
        <is>
          <t>Fijo</t>
        </is>
      </c>
      <c r="W4" s="72" t="n">
        <v>46266</v>
      </c>
      <c r="X4" t="n">
        <v>600000</v>
      </c>
    </row>
    <row r="5">
      <c r="B5" t="inlineStr">
        <is>
          <t>Jabón artesanal</t>
        </is>
      </c>
      <c r="C5" t="inlineStr">
        <is>
          <t>Belleza</t>
        </is>
      </c>
      <c r="D5" t="n">
        <v>1800</v>
      </c>
      <c r="E5" t="n">
        <v>450</v>
      </c>
      <c r="F5" t="n">
        <v>0.05</v>
      </c>
      <c r="G5" t="n">
        <v>80</v>
      </c>
      <c r="H5" t="n">
        <v>0</v>
      </c>
      <c r="I5" t="n">
        <v>150</v>
      </c>
      <c r="J5" t="n">
        <v>20</v>
      </c>
      <c r="K5">
        <f>E5+(D5*F5)+G5+H5+I5+J5</f>
        <v/>
      </c>
      <c r="L5">
        <f>D5-K5</f>
        <v/>
      </c>
      <c r="M5">
        <f>IF(D5=0,"",L5/D5)</f>
        <v/>
      </c>
      <c r="N5" s="75">
        <f>SUMIFS($D$22:$D$132,$C$22:$C$132,B5)</f>
        <v/>
      </c>
      <c r="O5" s="71">
        <f>SUMIFS($L$22:$L$132,$C$22:$C$132,B5)</f>
        <v/>
      </c>
      <c r="Q5" s="72" t="n">
        <v>46272</v>
      </c>
      <c r="R5" t="inlineStr">
        <is>
          <t>Internet</t>
        </is>
      </c>
      <c r="S5" t="inlineStr">
        <is>
          <t>Internet del local</t>
        </is>
      </c>
      <c r="T5" t="n">
        <v>6200</v>
      </c>
      <c r="U5" t="inlineStr">
        <is>
          <t>Fijo</t>
        </is>
      </c>
    </row>
    <row r="6">
      <c r="B6" t="inlineStr">
        <is>
          <t>Set de regalo premium</t>
        </is>
      </c>
      <c r="C6" t="inlineStr">
        <is>
          <t>Hogar</t>
        </is>
      </c>
      <c r="D6" t="n">
        <v>9500</v>
      </c>
      <c r="E6" t="n">
        <v>3200</v>
      </c>
      <c r="F6" t="n">
        <v>0.1</v>
      </c>
      <c r="G6" t="n">
        <v>300</v>
      </c>
      <c r="H6" t="n">
        <v>500</v>
      </c>
      <c r="I6" t="n">
        <v>400</v>
      </c>
      <c r="J6" t="n">
        <v>100</v>
      </c>
      <c r="K6">
        <f>E6+(D6*F6)+G6+H6+I6+J6</f>
        <v/>
      </c>
      <c r="L6">
        <f>D6-K6</f>
        <v/>
      </c>
      <c r="M6">
        <f>IF(D6=0,"",L6/D6)</f>
        <v/>
      </c>
      <c r="N6" s="75">
        <f>SUMIFS($D$22:$D$132,$C$22:$C$132,B6)</f>
        <v/>
      </c>
      <c r="O6" s="71">
        <f>SUMIFS($L$22:$L$132,$C$22:$C$132,B6)</f>
        <v/>
      </c>
      <c r="Q6" s="72" t="n">
        <v>46280</v>
      </c>
      <c r="R6" t="inlineStr">
        <is>
          <t>Publicidad</t>
        </is>
      </c>
      <c r="S6" t="inlineStr">
        <is>
          <t>Campaña redes sociales</t>
        </is>
      </c>
      <c r="T6" t="n">
        <v>15000</v>
      </c>
      <c r="U6" t="inlineStr">
        <is>
          <t>Variable</t>
        </is>
      </c>
    </row>
    <row r="7">
      <c r="B7" t="inlineStr">
        <is>
          <t>Difusor de aromas</t>
        </is>
      </c>
      <c r="C7" t="inlineStr">
        <is>
          <t>Hogar</t>
        </is>
      </c>
      <c r="D7" t="n">
        <v>6800</v>
      </c>
      <c r="E7" t="n">
        <v>2900</v>
      </c>
      <c r="F7" t="n">
        <v>0.08</v>
      </c>
      <c r="G7" t="n">
        <v>200</v>
      </c>
      <c r="H7" t="n">
        <v>0</v>
      </c>
      <c r="I7" t="n">
        <v>300</v>
      </c>
      <c r="J7" t="n">
        <v>80</v>
      </c>
      <c r="K7">
        <f>E7+(D7*F7)+G7+H7+I7+J7</f>
        <v/>
      </c>
      <c r="L7">
        <f>D7-K7</f>
        <v/>
      </c>
      <c r="M7">
        <f>IF(D7=0,"",L7/D7)</f>
        <v/>
      </c>
      <c r="N7" s="75">
        <f>SUMIFS($D$22:$D$132,$C$22:$C$132,B7)</f>
        <v/>
      </c>
      <c r="O7" s="71">
        <f>SUMIFS($L$22:$L$132,$C$22:$C$132,B7)</f>
        <v/>
      </c>
      <c r="Q7" s="72" t="n">
        <v>46240</v>
      </c>
      <c r="R7" t="inlineStr">
        <is>
          <t>Software/Suscripciones</t>
        </is>
      </c>
      <c r="S7" t="inlineStr">
        <is>
          <t>Suscripción plataforma de ventas</t>
        </is>
      </c>
      <c r="T7" t="n">
        <v>8500</v>
      </c>
      <c r="U7" t="inlineStr">
        <is>
          <t>Fijo</t>
        </is>
      </c>
    </row>
    <row r="8">
      <c r="B8" t="inlineStr">
        <is>
          <t>Crema corporal</t>
        </is>
      </c>
      <c r="C8" t="inlineStr">
        <is>
          <t>Belleza</t>
        </is>
      </c>
      <c r="D8" t="n">
        <v>3200</v>
      </c>
      <c r="E8" t="n">
        <v>1400</v>
      </c>
      <c r="F8" t="n">
        <v>0.05</v>
      </c>
      <c r="G8" t="n">
        <v>120</v>
      </c>
      <c r="H8" t="n">
        <v>0</v>
      </c>
      <c r="I8" t="n">
        <v>200</v>
      </c>
      <c r="J8" t="n">
        <v>60</v>
      </c>
      <c r="K8">
        <f>E8+(D8*F8)+G8+H8+I8+J8</f>
        <v/>
      </c>
      <c r="L8">
        <f>D8-K8</f>
        <v/>
      </c>
      <c r="M8">
        <f>IF(D8=0,"",L8/D8)</f>
        <v/>
      </c>
      <c r="N8" s="75">
        <f>SUMIFS($D$22:$D$132,$C$22:$C$132,B8)</f>
        <v/>
      </c>
      <c r="O8" s="71">
        <f>SUMIFS($L$22:$L$132,$C$22:$C$132,B8)</f>
        <v/>
      </c>
      <c r="Q8" s="72" t="n">
        <v>46242</v>
      </c>
      <c r="R8" t="inlineStr">
        <is>
          <t>Internet</t>
        </is>
      </c>
      <c r="S8" t="inlineStr">
        <is>
          <t>Internet del local</t>
        </is>
      </c>
      <c r="T8" t="n">
        <v>6200</v>
      </c>
      <c r="U8" t="inlineStr">
        <is>
          <t>Fijo</t>
        </is>
      </c>
    </row>
    <row r="9">
      <c r="B9" t="inlineStr">
        <is>
          <t>Sahumerio x12</t>
        </is>
      </c>
      <c r="C9" t="inlineStr">
        <is>
          <t>Hogar</t>
        </is>
      </c>
      <c r="D9" t="n">
        <v>1500</v>
      </c>
      <c r="E9" t="n">
        <v>700</v>
      </c>
      <c r="F9" t="n">
        <v>0.05</v>
      </c>
      <c r="G9" t="n">
        <v>60</v>
      </c>
      <c r="H9" t="n">
        <v>0</v>
      </c>
      <c r="I9" t="n">
        <v>50</v>
      </c>
      <c r="J9" t="n">
        <v>20</v>
      </c>
      <c r="K9">
        <f>E9+(D9*F9)+G9+H9+I9+J9</f>
        <v/>
      </c>
      <c r="L9">
        <f>D9-K9</f>
        <v/>
      </c>
      <c r="M9">
        <f>IF(D9=0,"",L9/D9)</f>
        <v/>
      </c>
      <c r="N9" s="75">
        <f>SUMIFS($D$22:$D$132,$C$22:$C$132,B9)</f>
        <v/>
      </c>
      <c r="O9" s="71">
        <f>SUMIFS($L$22:$L$132,$C$22:$C$132,B9)</f>
        <v/>
      </c>
      <c r="Q9" s="72" t="n">
        <v>46250</v>
      </c>
      <c r="R9" t="inlineStr">
        <is>
          <t>Publicidad</t>
        </is>
      </c>
      <c r="S9" t="inlineStr">
        <is>
          <t>Campaña redes sociales</t>
        </is>
      </c>
      <c r="T9" t="n">
        <v>15000</v>
      </c>
      <c r="U9" t="inlineStr">
        <is>
          <t>Variable</t>
        </is>
      </c>
    </row>
    <row r="10">
      <c r="B10" t="inlineStr">
        <is>
          <t>Kit spa en casa</t>
        </is>
      </c>
      <c r="C10" t="inlineStr">
        <is>
          <t>Belleza</t>
        </is>
      </c>
      <c r="D10" t="n">
        <v>12000</v>
      </c>
      <c r="E10" t="n">
        <v>6500</v>
      </c>
      <c r="F10" t="n">
        <v>0.1</v>
      </c>
      <c r="G10" t="n">
        <v>350</v>
      </c>
      <c r="H10" t="n">
        <v>800</v>
      </c>
      <c r="I10" t="n">
        <v>500</v>
      </c>
      <c r="J10" t="n">
        <v>150</v>
      </c>
      <c r="K10">
        <f>E10+(D10*F10)+G10+H10+I10+J10</f>
        <v/>
      </c>
      <c r="L10">
        <f>D10-K10</f>
        <v/>
      </c>
      <c r="M10">
        <f>IF(D10=0,"",L10/D10)</f>
        <v/>
      </c>
      <c r="N10" s="75">
        <f>SUMIFS($D$22:$D$132,$C$22:$C$132,B10)</f>
        <v/>
      </c>
      <c r="O10" s="71">
        <f>SUMIFS($L$22:$L$132,$C$22:$C$132,B10)</f>
        <v/>
      </c>
      <c r="Q10" s="72" t="n">
        <v>46210</v>
      </c>
      <c r="R10" t="inlineStr">
        <is>
          <t>Software/Suscripciones</t>
        </is>
      </c>
      <c r="S10" t="inlineStr">
        <is>
          <t>Suscripción plataforma de ventas</t>
        </is>
      </c>
      <c r="T10" t="n">
        <v>8500</v>
      </c>
      <c r="U10" t="inlineStr">
        <is>
          <t>Fijo</t>
        </is>
      </c>
    </row>
    <row r="11">
      <c r="Q11" s="72" t="n">
        <v>46212</v>
      </c>
      <c r="R11" t="inlineStr">
        <is>
          <t>Internet</t>
        </is>
      </c>
      <c r="S11" t="inlineStr">
        <is>
          <t>Internet del local</t>
        </is>
      </c>
      <c r="T11" t="n">
        <v>6200</v>
      </c>
      <c r="U11" t="inlineStr">
        <is>
          <t>Fijo</t>
        </is>
      </c>
    </row>
    <row r="12">
      <c r="Q12" s="72" t="n">
        <v>46220</v>
      </c>
      <c r="R12" t="inlineStr">
        <is>
          <t>Publicidad</t>
        </is>
      </c>
      <c r="S12" t="inlineStr">
        <is>
          <t>Campaña redes sociales</t>
        </is>
      </c>
      <c r="T12" t="n">
        <v>15000</v>
      </c>
      <c r="U12" t="inlineStr">
        <is>
          <t>Variable</t>
        </is>
      </c>
    </row>
    <row r="13">
      <c r="Q13" s="72" t="n">
        <v>46256</v>
      </c>
      <c r="R13" t="inlineStr">
        <is>
          <t>Herramientas</t>
        </is>
      </c>
      <c r="S13" t="inlineStr">
        <is>
          <t>Balanza nueva</t>
        </is>
      </c>
      <c r="T13" t="n">
        <v>22000</v>
      </c>
      <c r="U13" t="inlineStr">
        <is>
          <t>Único</t>
        </is>
      </c>
    </row>
    <row r="14">
      <c r="Q14" s="72" t="n">
        <v>46271</v>
      </c>
      <c r="R14" t="inlineStr">
        <is>
          <t>Packaging general</t>
        </is>
      </c>
      <c r="S14" t="inlineStr">
        <is>
          <t>Cajas y etiquetas</t>
        </is>
      </c>
      <c r="T14" t="n">
        <v>9800</v>
      </c>
      <c r="U14" t="inlineStr">
        <is>
          <t>Variable</t>
        </is>
      </c>
    </row>
    <row r="20">
      <c r="A20" t="inlineStr">
        <is>
          <t>Demo · Ventas</t>
        </is>
      </c>
    </row>
    <row r="21">
      <c r="B21" s="74" t="inlineStr">
        <is>
          <t>Fecha</t>
        </is>
      </c>
      <c r="C21" s="74" t="inlineStr">
        <is>
          <t>Producto</t>
        </is>
      </c>
      <c r="D21" s="74" t="inlineStr">
        <is>
          <t>Cantidad</t>
        </is>
      </c>
      <c r="E21" s="74" t="inlineStr">
        <is>
          <t>Precio de venta</t>
        </is>
      </c>
      <c r="F21" s="74" t="inlineStr">
        <is>
          <t>Canal</t>
        </is>
      </c>
      <c r="G21" s="74" t="inlineStr">
        <is>
          <t>Comisión %</t>
        </is>
      </c>
      <c r="H21" s="74" t="inlineStr">
        <is>
          <t>Descuento</t>
        </is>
      </c>
      <c r="I21" s="74" t="inlineStr">
        <is>
          <t>Otros costos</t>
        </is>
      </c>
      <c r="J21" s="74" t="inlineStr">
        <is>
          <t>Venta total</t>
        </is>
      </c>
      <c r="K21" s="74" t="inlineStr">
        <is>
          <t>Costo total de la venta</t>
        </is>
      </c>
      <c r="L21" s="74" t="inlineStr">
        <is>
          <t>Ganancia</t>
        </is>
      </c>
    </row>
    <row r="22">
      <c r="B22" s="72" t="n">
        <v>46187</v>
      </c>
      <c r="C22" t="inlineStr">
        <is>
          <t>Sahumerio x12</t>
        </is>
      </c>
      <c r="D22" t="n">
        <v>2</v>
      </c>
      <c r="E22">
        <f>IFERROR(INDEX($D$3:$D$10,MATCH(C22,$B$3:$B$10,0)),0)</f>
        <v/>
      </c>
      <c r="F22" t="inlineStr">
        <is>
          <t>Local</t>
        </is>
      </c>
      <c r="G22">
        <f>IFERROR(INDEX($F$3:$F$10,MATCH(C22,$B$3:$B$10,0)),0)</f>
        <v/>
      </c>
      <c r="H22" t="n">
        <v>0</v>
      </c>
      <c r="I22" t="n">
        <v>0</v>
      </c>
      <c r="J22">
        <f>(D22*E22)-H22</f>
        <v/>
      </c>
      <c r="K22">
        <f>IFERROR(INDEX($K$3:$K$10,MATCH(C22,$B$3:$B$10,0))*D22,0)</f>
        <v/>
      </c>
      <c r="L22">
        <f>J22-K22-I22</f>
        <v/>
      </c>
    </row>
    <row r="23">
      <c r="B23" s="72" t="n">
        <v>46187</v>
      </c>
      <c r="C23" t="inlineStr">
        <is>
          <t>Difusor de aromas</t>
        </is>
      </c>
      <c r="D23" t="n">
        <v>1</v>
      </c>
      <c r="E23">
        <f>IFERROR(INDEX($D$3:$D$10,MATCH(C23,$B$3:$B$10,0)),0)</f>
        <v/>
      </c>
      <c r="F23" t="inlineStr">
        <is>
          <t>Mayorista</t>
        </is>
      </c>
      <c r="G23">
        <f>IFERROR(INDEX($F$3:$F$10,MATCH(C23,$B$3:$B$10,0)),0)</f>
        <v/>
      </c>
      <c r="H23" t="n">
        <v>200</v>
      </c>
      <c r="I23" t="n">
        <v>0</v>
      </c>
      <c r="J23">
        <f>(D23*E23)-H23</f>
        <v/>
      </c>
      <c r="K23">
        <f>IFERROR(INDEX($K$3:$K$10,MATCH(C23,$B$3:$B$10,0))*D23,0)</f>
        <v/>
      </c>
      <c r="L23">
        <f>J23-K23-I23</f>
        <v/>
      </c>
    </row>
    <row r="24">
      <c r="B24" s="72" t="n">
        <v>46189</v>
      </c>
      <c r="C24" t="inlineStr">
        <is>
          <t>Vela aromática grande</t>
        </is>
      </c>
      <c r="D24" t="n">
        <v>2</v>
      </c>
      <c r="E24">
        <f>IFERROR(INDEX($D$3:$D$10,MATCH(C24,$B$3:$B$10,0)),0)</f>
        <v/>
      </c>
      <c r="F24" t="inlineStr">
        <is>
          <t>Redes sociales</t>
        </is>
      </c>
      <c r="G24">
        <f>IFERROR(INDEX($F$3:$F$10,MATCH(C24,$B$3:$B$10,0)),0)</f>
        <v/>
      </c>
      <c r="H24" t="n">
        <v>0</v>
      </c>
      <c r="I24" t="n">
        <v>0</v>
      </c>
      <c r="J24">
        <f>(D24*E24)-H24</f>
        <v/>
      </c>
      <c r="K24">
        <f>IFERROR(INDEX($K$3:$K$10,MATCH(C24,$B$3:$B$10,0))*D24,0)</f>
        <v/>
      </c>
      <c r="L24">
        <f>J24-K24-I24</f>
        <v/>
      </c>
    </row>
    <row r="25">
      <c r="B25" s="72" t="n">
        <v>46190</v>
      </c>
      <c r="C25" t="inlineStr">
        <is>
          <t>Vela aromática grande</t>
        </is>
      </c>
      <c r="D25" t="n">
        <v>2</v>
      </c>
      <c r="E25">
        <f>IFERROR(INDEX($D$3:$D$10,MATCH(C25,$B$3:$B$10,0)),0)</f>
        <v/>
      </c>
      <c r="F25" t="inlineStr">
        <is>
          <t>Local</t>
        </is>
      </c>
      <c r="G25">
        <f>IFERROR(INDEX($F$3:$F$10,MATCH(C25,$B$3:$B$10,0)),0)</f>
        <v/>
      </c>
      <c r="H25" t="n">
        <v>200</v>
      </c>
      <c r="I25" t="n">
        <v>0</v>
      </c>
      <c r="J25">
        <f>(D25*E25)-H25</f>
        <v/>
      </c>
      <c r="K25">
        <f>IFERROR(INDEX($K$3:$K$10,MATCH(C25,$B$3:$B$10,0))*D25,0)</f>
        <v/>
      </c>
      <c r="L25">
        <f>J25-K25-I25</f>
        <v/>
      </c>
    </row>
    <row r="26">
      <c r="B26" s="72" t="n">
        <v>46192</v>
      </c>
      <c r="C26" t="inlineStr">
        <is>
          <t>Jabón artesanal</t>
        </is>
      </c>
      <c r="D26" t="n">
        <v>2</v>
      </c>
      <c r="E26">
        <f>IFERROR(INDEX($D$3:$D$10,MATCH(C26,$B$3:$B$10,0)),0)</f>
        <v/>
      </c>
      <c r="F26" t="inlineStr">
        <is>
          <t>Local</t>
        </is>
      </c>
      <c r="G26">
        <f>IFERROR(INDEX($F$3:$F$10,MATCH(C26,$B$3:$B$10,0)),0)</f>
        <v/>
      </c>
      <c r="H26" t="n">
        <v>200</v>
      </c>
      <c r="I26" t="n">
        <v>0</v>
      </c>
      <c r="J26">
        <f>(D26*E26)-H26</f>
        <v/>
      </c>
      <c r="K26">
        <f>IFERROR(INDEX($K$3:$K$10,MATCH(C26,$B$3:$B$10,0))*D26,0)</f>
        <v/>
      </c>
      <c r="L26">
        <f>J26-K26-I26</f>
        <v/>
      </c>
    </row>
    <row r="27">
      <c r="B27" s="72" t="n">
        <v>46193</v>
      </c>
      <c r="C27" t="inlineStr">
        <is>
          <t>Vela aromática grande</t>
        </is>
      </c>
      <c r="D27" t="n">
        <v>1</v>
      </c>
      <c r="E27">
        <f>IFERROR(INDEX($D$3:$D$10,MATCH(C27,$B$3:$B$10,0)),0)</f>
        <v/>
      </c>
      <c r="F27" t="inlineStr">
        <is>
          <t>Local</t>
        </is>
      </c>
      <c r="G27">
        <f>IFERROR(INDEX($F$3:$F$10,MATCH(C27,$B$3:$B$10,0)),0)</f>
        <v/>
      </c>
      <c r="H27" t="n">
        <v>200</v>
      </c>
      <c r="I27" t="n">
        <v>0</v>
      </c>
      <c r="J27">
        <f>(D27*E27)-H27</f>
        <v/>
      </c>
      <c r="K27">
        <f>IFERROR(INDEX($K$3:$K$10,MATCH(C27,$B$3:$B$10,0))*D27,0)</f>
        <v/>
      </c>
      <c r="L27">
        <f>J27-K27-I27</f>
        <v/>
      </c>
    </row>
    <row r="28">
      <c r="B28" s="72" t="n">
        <v>46193</v>
      </c>
      <c r="C28" t="inlineStr">
        <is>
          <t>Crema corporal</t>
        </is>
      </c>
      <c r="D28" t="n">
        <v>1</v>
      </c>
      <c r="E28">
        <f>IFERROR(INDEX($D$3:$D$10,MATCH(C28,$B$3:$B$10,0)),0)</f>
        <v/>
      </c>
      <c r="F28" t="inlineStr">
        <is>
          <t>Redes sociales</t>
        </is>
      </c>
      <c r="G28">
        <f>IFERROR(INDEX($F$3:$F$10,MATCH(C28,$B$3:$B$10,0)),0)</f>
        <v/>
      </c>
      <c r="H28" t="n">
        <v>0</v>
      </c>
      <c r="I28" t="n">
        <v>0</v>
      </c>
      <c r="J28">
        <f>(D28*E28)-H28</f>
        <v/>
      </c>
      <c r="K28">
        <f>IFERROR(INDEX($K$3:$K$10,MATCH(C28,$B$3:$B$10,0))*D28,0)</f>
        <v/>
      </c>
      <c r="L28">
        <f>J28-K28-I28</f>
        <v/>
      </c>
    </row>
    <row r="29">
      <c r="B29" s="72" t="n">
        <v>46195</v>
      </c>
      <c r="C29" t="inlineStr">
        <is>
          <t>Jabón artesanal</t>
        </is>
      </c>
      <c r="D29" t="n">
        <v>3</v>
      </c>
      <c r="E29">
        <f>IFERROR(INDEX($D$3:$D$10,MATCH(C29,$B$3:$B$10,0)),0)</f>
        <v/>
      </c>
      <c r="F29" t="inlineStr">
        <is>
          <t>Online</t>
        </is>
      </c>
      <c r="G29">
        <f>IFERROR(INDEX($F$3:$F$10,MATCH(C29,$B$3:$B$10,0)),0)</f>
        <v/>
      </c>
      <c r="H29" t="n">
        <v>0</v>
      </c>
      <c r="I29" t="n">
        <v>0</v>
      </c>
      <c r="J29">
        <f>(D29*E29)-H29</f>
        <v/>
      </c>
      <c r="K29">
        <f>IFERROR(INDEX($K$3:$K$10,MATCH(C29,$B$3:$B$10,0))*D29,0)</f>
        <v/>
      </c>
      <c r="L29">
        <f>J29-K29-I29</f>
        <v/>
      </c>
    </row>
    <row r="30">
      <c r="B30" s="72" t="n">
        <v>46196</v>
      </c>
      <c r="C30" t="inlineStr">
        <is>
          <t>Vela aromática chica</t>
        </is>
      </c>
      <c r="D30" t="n">
        <v>2</v>
      </c>
      <c r="E30">
        <f>IFERROR(INDEX($D$3:$D$10,MATCH(C30,$B$3:$B$10,0)),0)</f>
        <v/>
      </c>
      <c r="F30" t="inlineStr">
        <is>
          <t>Local</t>
        </is>
      </c>
      <c r="G30">
        <f>IFERROR(INDEX($F$3:$F$10,MATCH(C30,$B$3:$B$10,0)),0)</f>
        <v/>
      </c>
      <c r="H30" t="n">
        <v>200</v>
      </c>
      <c r="I30" t="n">
        <v>0</v>
      </c>
      <c r="J30">
        <f>(D30*E30)-H30</f>
        <v/>
      </c>
      <c r="K30">
        <f>IFERROR(INDEX($K$3:$K$10,MATCH(C30,$B$3:$B$10,0))*D30,0)</f>
        <v/>
      </c>
      <c r="L30">
        <f>J30-K30-I30</f>
        <v/>
      </c>
    </row>
    <row r="31">
      <c r="B31" s="72" t="n">
        <v>46198</v>
      </c>
      <c r="C31" t="inlineStr">
        <is>
          <t>Vela aromática chica</t>
        </is>
      </c>
      <c r="D31" t="n">
        <v>2</v>
      </c>
      <c r="E31">
        <f>IFERROR(INDEX($D$3:$D$10,MATCH(C31,$B$3:$B$10,0)),0)</f>
        <v/>
      </c>
      <c r="F31" t="inlineStr">
        <is>
          <t>Redes sociales</t>
        </is>
      </c>
      <c r="G31">
        <f>IFERROR(INDEX($F$3:$F$10,MATCH(C31,$B$3:$B$10,0)),0)</f>
        <v/>
      </c>
      <c r="H31" t="n">
        <v>0</v>
      </c>
      <c r="I31" t="n">
        <v>0</v>
      </c>
      <c r="J31">
        <f>(D31*E31)-H31</f>
        <v/>
      </c>
      <c r="K31">
        <f>IFERROR(INDEX($K$3:$K$10,MATCH(C31,$B$3:$B$10,0))*D31,0)</f>
        <v/>
      </c>
      <c r="L31">
        <f>J31-K31-I31</f>
        <v/>
      </c>
    </row>
    <row r="32">
      <c r="B32" s="72" t="n">
        <v>46199</v>
      </c>
      <c r="C32" t="inlineStr">
        <is>
          <t>Jabón artesanal</t>
        </is>
      </c>
      <c r="D32" t="n">
        <v>2</v>
      </c>
      <c r="E32">
        <f>IFERROR(INDEX($D$3:$D$10,MATCH(C32,$B$3:$B$10,0)),0)</f>
        <v/>
      </c>
      <c r="F32" t="inlineStr">
        <is>
          <t>Mayorista</t>
        </is>
      </c>
      <c r="G32">
        <f>IFERROR(INDEX($F$3:$F$10,MATCH(C32,$B$3:$B$10,0)),0)</f>
        <v/>
      </c>
      <c r="H32" t="n">
        <v>0</v>
      </c>
      <c r="I32" t="n">
        <v>0</v>
      </c>
      <c r="J32">
        <f>(D32*E32)-H32</f>
        <v/>
      </c>
      <c r="K32">
        <f>IFERROR(INDEX($K$3:$K$10,MATCH(C32,$B$3:$B$10,0))*D32,0)</f>
        <v/>
      </c>
      <c r="L32">
        <f>J32-K32-I32</f>
        <v/>
      </c>
    </row>
    <row r="33">
      <c r="B33" s="72" t="n">
        <v>46199</v>
      </c>
      <c r="C33" t="inlineStr">
        <is>
          <t>Vela aromática grande</t>
        </is>
      </c>
      <c r="D33" t="n">
        <v>1</v>
      </c>
      <c r="E33">
        <f>IFERROR(INDEX($D$3:$D$10,MATCH(C33,$B$3:$B$10,0)),0)</f>
        <v/>
      </c>
      <c r="F33" t="inlineStr">
        <is>
          <t>Online</t>
        </is>
      </c>
      <c r="G33">
        <f>IFERROR(INDEX($F$3:$F$10,MATCH(C33,$B$3:$B$10,0)),0)</f>
        <v/>
      </c>
      <c r="H33" t="n">
        <v>0</v>
      </c>
      <c r="I33" t="n">
        <v>0</v>
      </c>
      <c r="J33">
        <f>(D33*E33)-H33</f>
        <v/>
      </c>
      <c r="K33">
        <f>IFERROR(INDEX($K$3:$K$10,MATCH(C33,$B$3:$B$10,0))*D33,0)</f>
        <v/>
      </c>
      <c r="L33">
        <f>J33-K33-I33</f>
        <v/>
      </c>
    </row>
    <row r="34">
      <c r="B34" s="72" t="n">
        <v>46199</v>
      </c>
      <c r="C34" t="inlineStr">
        <is>
          <t>Jabón artesanal</t>
        </is>
      </c>
      <c r="D34" t="n">
        <v>2</v>
      </c>
      <c r="E34">
        <f>IFERROR(INDEX($D$3:$D$10,MATCH(C34,$B$3:$B$10,0)),0)</f>
        <v/>
      </c>
      <c r="F34" t="inlineStr">
        <is>
          <t>Redes sociales</t>
        </is>
      </c>
      <c r="G34">
        <f>IFERROR(INDEX($F$3:$F$10,MATCH(C34,$B$3:$B$10,0)),0)</f>
        <v/>
      </c>
      <c r="H34" t="n">
        <v>0</v>
      </c>
      <c r="I34" t="n">
        <v>0</v>
      </c>
      <c r="J34">
        <f>(D34*E34)-H34</f>
        <v/>
      </c>
      <c r="K34">
        <f>IFERROR(INDEX($K$3:$K$10,MATCH(C34,$B$3:$B$10,0))*D34,0)</f>
        <v/>
      </c>
      <c r="L34">
        <f>J34-K34-I34</f>
        <v/>
      </c>
    </row>
    <row r="35">
      <c r="B35" s="72" t="n">
        <v>46200</v>
      </c>
      <c r="C35" t="inlineStr">
        <is>
          <t>Vela aromática grande</t>
        </is>
      </c>
      <c r="D35" t="n">
        <v>1</v>
      </c>
      <c r="E35">
        <f>IFERROR(INDEX($D$3:$D$10,MATCH(C35,$B$3:$B$10,0)),0)</f>
        <v/>
      </c>
      <c r="F35" t="inlineStr">
        <is>
          <t>Local</t>
        </is>
      </c>
      <c r="G35">
        <f>IFERROR(INDEX($F$3:$F$10,MATCH(C35,$B$3:$B$10,0)),0)</f>
        <v/>
      </c>
      <c r="H35" t="n">
        <v>200</v>
      </c>
      <c r="I35" t="n">
        <v>0</v>
      </c>
      <c r="J35">
        <f>(D35*E35)-H35</f>
        <v/>
      </c>
      <c r="K35">
        <f>IFERROR(INDEX($K$3:$K$10,MATCH(C35,$B$3:$B$10,0))*D35,0)</f>
        <v/>
      </c>
      <c r="L35">
        <f>J35-K35-I35</f>
        <v/>
      </c>
    </row>
    <row r="36">
      <c r="B36" s="72" t="n">
        <v>46200</v>
      </c>
      <c r="C36" t="inlineStr">
        <is>
          <t>Vela aromática chica</t>
        </is>
      </c>
      <c r="D36" t="n">
        <v>1</v>
      </c>
      <c r="E36">
        <f>IFERROR(INDEX($D$3:$D$10,MATCH(C36,$B$3:$B$10,0)),0)</f>
        <v/>
      </c>
      <c r="F36" t="inlineStr">
        <is>
          <t>Online</t>
        </is>
      </c>
      <c r="G36">
        <f>IFERROR(INDEX($F$3:$F$10,MATCH(C36,$B$3:$B$10,0)),0)</f>
        <v/>
      </c>
      <c r="H36" t="n">
        <v>0</v>
      </c>
      <c r="I36" t="n">
        <v>0</v>
      </c>
      <c r="J36">
        <f>(D36*E36)-H36</f>
        <v/>
      </c>
      <c r="K36">
        <f>IFERROR(INDEX($K$3:$K$10,MATCH(C36,$B$3:$B$10,0))*D36,0)</f>
        <v/>
      </c>
      <c r="L36">
        <f>J36-K36-I36</f>
        <v/>
      </c>
    </row>
    <row r="37">
      <c r="B37" s="72" t="n">
        <v>46200</v>
      </c>
      <c r="C37" t="inlineStr">
        <is>
          <t>Vela aromática chica</t>
        </is>
      </c>
      <c r="D37" t="n">
        <v>3</v>
      </c>
      <c r="E37">
        <f>IFERROR(INDEX($D$3:$D$10,MATCH(C37,$B$3:$B$10,0)),0)</f>
        <v/>
      </c>
      <c r="F37" t="inlineStr">
        <is>
          <t>Local</t>
        </is>
      </c>
      <c r="G37">
        <f>IFERROR(INDEX($F$3:$F$10,MATCH(C37,$B$3:$B$10,0)),0)</f>
        <v/>
      </c>
      <c r="H37" t="n">
        <v>200</v>
      </c>
      <c r="I37" t="n">
        <v>0</v>
      </c>
      <c r="J37">
        <f>(D37*E37)-H37</f>
        <v/>
      </c>
      <c r="K37">
        <f>IFERROR(INDEX($K$3:$K$10,MATCH(C37,$B$3:$B$10,0))*D37,0)</f>
        <v/>
      </c>
      <c r="L37">
        <f>J37-K37-I37</f>
        <v/>
      </c>
    </row>
    <row r="38">
      <c r="B38" s="72" t="n">
        <v>46201</v>
      </c>
      <c r="C38" t="inlineStr">
        <is>
          <t>Vela aromática chica</t>
        </is>
      </c>
      <c r="D38" t="n">
        <v>1</v>
      </c>
      <c r="E38">
        <f>IFERROR(INDEX($D$3:$D$10,MATCH(C38,$B$3:$B$10,0)),0)</f>
        <v/>
      </c>
      <c r="F38" t="inlineStr">
        <is>
          <t>Feria</t>
        </is>
      </c>
      <c r="G38">
        <f>IFERROR(INDEX($F$3:$F$10,MATCH(C38,$B$3:$B$10,0)),0)</f>
        <v/>
      </c>
      <c r="H38" t="n">
        <v>0</v>
      </c>
      <c r="I38" t="n">
        <v>0</v>
      </c>
      <c r="J38">
        <f>(D38*E38)-H38</f>
        <v/>
      </c>
      <c r="K38">
        <f>IFERROR(INDEX($K$3:$K$10,MATCH(C38,$B$3:$B$10,0))*D38,0)</f>
        <v/>
      </c>
      <c r="L38">
        <f>J38-K38-I38</f>
        <v/>
      </c>
    </row>
    <row r="39">
      <c r="B39" s="72" t="n">
        <v>46201</v>
      </c>
      <c r="C39" t="inlineStr">
        <is>
          <t>Jabón artesanal</t>
        </is>
      </c>
      <c r="D39" t="n">
        <v>2</v>
      </c>
      <c r="E39">
        <f>IFERROR(INDEX($D$3:$D$10,MATCH(C39,$B$3:$B$10,0)),0)</f>
        <v/>
      </c>
      <c r="F39" t="inlineStr">
        <is>
          <t>Local</t>
        </is>
      </c>
      <c r="G39">
        <f>IFERROR(INDEX($F$3:$F$10,MATCH(C39,$B$3:$B$10,0)),0)</f>
        <v/>
      </c>
      <c r="H39" t="n">
        <v>0</v>
      </c>
      <c r="I39" t="n">
        <v>0</v>
      </c>
      <c r="J39">
        <f>(D39*E39)-H39</f>
        <v/>
      </c>
      <c r="K39">
        <f>IFERROR(INDEX($K$3:$K$10,MATCH(C39,$B$3:$B$10,0))*D39,0)</f>
        <v/>
      </c>
      <c r="L39">
        <f>J39-K39-I39</f>
        <v/>
      </c>
    </row>
    <row r="40">
      <c r="B40" s="72" t="n">
        <v>46202</v>
      </c>
      <c r="C40" t="inlineStr">
        <is>
          <t>Vela aromática chica</t>
        </is>
      </c>
      <c r="D40" t="n">
        <v>3</v>
      </c>
      <c r="E40">
        <f>IFERROR(INDEX($D$3:$D$10,MATCH(C40,$B$3:$B$10,0)),0)</f>
        <v/>
      </c>
      <c r="F40" t="inlineStr">
        <is>
          <t>Local</t>
        </is>
      </c>
      <c r="G40">
        <f>IFERROR(INDEX($F$3:$F$10,MATCH(C40,$B$3:$B$10,0)),0)</f>
        <v/>
      </c>
      <c r="H40" t="n">
        <v>0</v>
      </c>
      <c r="I40" t="n">
        <v>0</v>
      </c>
      <c r="J40">
        <f>(D40*E40)-H40</f>
        <v/>
      </c>
      <c r="K40">
        <f>IFERROR(INDEX($K$3:$K$10,MATCH(C40,$B$3:$B$10,0))*D40,0)</f>
        <v/>
      </c>
      <c r="L40">
        <f>J40-K40-I40</f>
        <v/>
      </c>
    </row>
    <row r="41">
      <c r="B41" s="72" t="n">
        <v>46203</v>
      </c>
      <c r="C41" t="inlineStr">
        <is>
          <t>Jabón artesanal</t>
        </is>
      </c>
      <c r="D41" t="n">
        <v>3</v>
      </c>
      <c r="E41">
        <f>IFERROR(INDEX($D$3:$D$10,MATCH(C41,$B$3:$B$10,0)),0)</f>
        <v/>
      </c>
      <c r="F41" t="inlineStr">
        <is>
          <t>Redes sociales</t>
        </is>
      </c>
      <c r="G41">
        <f>IFERROR(INDEX($F$3:$F$10,MATCH(C41,$B$3:$B$10,0)),0)</f>
        <v/>
      </c>
      <c r="H41" t="n">
        <v>0</v>
      </c>
      <c r="I41" t="n">
        <v>0</v>
      </c>
      <c r="J41">
        <f>(D41*E41)-H41</f>
        <v/>
      </c>
      <c r="K41">
        <f>IFERROR(INDEX($K$3:$K$10,MATCH(C41,$B$3:$B$10,0))*D41,0)</f>
        <v/>
      </c>
      <c r="L41">
        <f>J41-K41-I41</f>
        <v/>
      </c>
    </row>
    <row r="42">
      <c r="B42" s="72" t="n">
        <v>46204</v>
      </c>
      <c r="C42" t="inlineStr">
        <is>
          <t>Crema corporal</t>
        </is>
      </c>
      <c r="D42" t="n">
        <v>1</v>
      </c>
      <c r="E42">
        <f>IFERROR(INDEX($D$3:$D$10,MATCH(C42,$B$3:$B$10,0)),0)</f>
        <v/>
      </c>
      <c r="F42" t="inlineStr">
        <is>
          <t>Local</t>
        </is>
      </c>
      <c r="G42">
        <f>IFERROR(INDEX($F$3:$F$10,MATCH(C42,$B$3:$B$10,0)),0)</f>
        <v/>
      </c>
      <c r="H42" t="n">
        <v>0</v>
      </c>
      <c r="I42" t="n">
        <v>0</v>
      </c>
      <c r="J42">
        <f>(D42*E42)-H42</f>
        <v/>
      </c>
      <c r="K42">
        <f>IFERROR(INDEX($K$3:$K$10,MATCH(C42,$B$3:$B$10,0))*D42,0)</f>
        <v/>
      </c>
      <c r="L42">
        <f>J42-K42-I42</f>
        <v/>
      </c>
    </row>
    <row r="43">
      <c r="B43" s="72" t="n">
        <v>46204</v>
      </c>
      <c r="C43" t="inlineStr">
        <is>
          <t>Vela aromática chica</t>
        </is>
      </c>
      <c r="D43" t="n">
        <v>2</v>
      </c>
      <c r="E43">
        <f>IFERROR(INDEX($D$3:$D$10,MATCH(C43,$B$3:$B$10,0)),0)</f>
        <v/>
      </c>
      <c r="F43" t="inlineStr">
        <is>
          <t>Local</t>
        </is>
      </c>
      <c r="G43">
        <f>IFERROR(INDEX($F$3:$F$10,MATCH(C43,$B$3:$B$10,0)),0)</f>
        <v/>
      </c>
      <c r="H43" t="n">
        <v>0</v>
      </c>
      <c r="I43" t="n">
        <v>0</v>
      </c>
      <c r="J43">
        <f>(D43*E43)-H43</f>
        <v/>
      </c>
      <c r="K43">
        <f>IFERROR(INDEX($K$3:$K$10,MATCH(C43,$B$3:$B$10,0))*D43,0)</f>
        <v/>
      </c>
      <c r="L43">
        <f>J43-K43-I43</f>
        <v/>
      </c>
    </row>
    <row r="44">
      <c r="B44" s="72" t="n">
        <v>46206</v>
      </c>
      <c r="C44" t="inlineStr">
        <is>
          <t>Difusor de aromas</t>
        </is>
      </c>
      <c r="D44" t="n">
        <v>1</v>
      </c>
      <c r="E44">
        <f>IFERROR(INDEX($D$3:$D$10,MATCH(C44,$B$3:$B$10,0)),0)</f>
        <v/>
      </c>
      <c r="F44" t="inlineStr">
        <is>
          <t>Online</t>
        </is>
      </c>
      <c r="G44">
        <f>IFERROR(INDEX($F$3:$F$10,MATCH(C44,$B$3:$B$10,0)),0)</f>
        <v/>
      </c>
      <c r="H44" t="n">
        <v>0</v>
      </c>
      <c r="I44" t="n">
        <v>0</v>
      </c>
      <c r="J44">
        <f>(D44*E44)-H44</f>
        <v/>
      </c>
      <c r="K44">
        <f>IFERROR(INDEX($K$3:$K$10,MATCH(C44,$B$3:$B$10,0))*D44,0)</f>
        <v/>
      </c>
      <c r="L44">
        <f>J44-K44-I44</f>
        <v/>
      </c>
    </row>
    <row r="45">
      <c r="B45" s="72" t="n">
        <v>46207</v>
      </c>
      <c r="C45" t="inlineStr">
        <is>
          <t>Sahumerio x12</t>
        </is>
      </c>
      <c r="D45" t="n">
        <v>2</v>
      </c>
      <c r="E45">
        <f>IFERROR(INDEX($D$3:$D$10,MATCH(C45,$B$3:$B$10,0)),0)</f>
        <v/>
      </c>
      <c r="F45" t="inlineStr">
        <is>
          <t>Local</t>
        </is>
      </c>
      <c r="G45">
        <f>IFERROR(INDEX($F$3:$F$10,MATCH(C45,$B$3:$B$10,0)),0)</f>
        <v/>
      </c>
      <c r="H45" t="n">
        <v>0</v>
      </c>
      <c r="I45" t="n">
        <v>0</v>
      </c>
      <c r="J45">
        <f>(D45*E45)-H45</f>
        <v/>
      </c>
      <c r="K45">
        <f>IFERROR(INDEX($K$3:$K$10,MATCH(C45,$B$3:$B$10,0))*D45,0)</f>
        <v/>
      </c>
      <c r="L45">
        <f>J45-K45-I45</f>
        <v/>
      </c>
    </row>
    <row r="46">
      <c r="B46" s="72" t="n">
        <v>46207</v>
      </c>
      <c r="C46" t="inlineStr">
        <is>
          <t>Vela aromática chica</t>
        </is>
      </c>
      <c r="D46" t="n">
        <v>2</v>
      </c>
      <c r="E46">
        <f>IFERROR(INDEX($D$3:$D$10,MATCH(C46,$B$3:$B$10,0)),0)</f>
        <v/>
      </c>
      <c r="F46" t="inlineStr">
        <is>
          <t>Mayorista</t>
        </is>
      </c>
      <c r="G46">
        <f>IFERROR(INDEX($F$3:$F$10,MATCH(C46,$B$3:$B$10,0)),0)</f>
        <v/>
      </c>
      <c r="H46" t="n">
        <v>0</v>
      </c>
      <c r="I46" t="n">
        <v>0</v>
      </c>
      <c r="J46">
        <f>(D46*E46)-H46</f>
        <v/>
      </c>
      <c r="K46">
        <f>IFERROR(INDEX($K$3:$K$10,MATCH(C46,$B$3:$B$10,0))*D46,0)</f>
        <v/>
      </c>
      <c r="L46">
        <f>J46-K46-I46</f>
        <v/>
      </c>
    </row>
    <row r="47">
      <c r="B47" s="72" t="n">
        <v>46208</v>
      </c>
      <c r="C47" t="inlineStr">
        <is>
          <t>Crema corporal</t>
        </is>
      </c>
      <c r="D47" t="n">
        <v>1</v>
      </c>
      <c r="E47">
        <f>IFERROR(INDEX($D$3:$D$10,MATCH(C47,$B$3:$B$10,0)),0)</f>
        <v/>
      </c>
      <c r="F47" t="inlineStr">
        <is>
          <t>Redes sociales</t>
        </is>
      </c>
      <c r="G47">
        <f>IFERROR(INDEX($F$3:$F$10,MATCH(C47,$B$3:$B$10,0)),0)</f>
        <v/>
      </c>
      <c r="H47" t="n">
        <v>0</v>
      </c>
      <c r="I47" t="n">
        <v>0</v>
      </c>
      <c r="J47">
        <f>(D47*E47)-H47</f>
        <v/>
      </c>
      <c r="K47">
        <f>IFERROR(INDEX($K$3:$K$10,MATCH(C47,$B$3:$B$10,0))*D47,0)</f>
        <v/>
      </c>
      <c r="L47">
        <f>J47-K47-I47</f>
        <v/>
      </c>
    </row>
    <row r="48">
      <c r="B48" s="72" t="n">
        <v>46208</v>
      </c>
      <c r="C48" t="inlineStr">
        <is>
          <t>Set de regalo premium</t>
        </is>
      </c>
      <c r="D48" t="n">
        <v>2</v>
      </c>
      <c r="E48">
        <f>IFERROR(INDEX($D$3:$D$10,MATCH(C48,$B$3:$B$10,0)),0)</f>
        <v/>
      </c>
      <c r="F48" t="inlineStr">
        <is>
          <t>Online</t>
        </is>
      </c>
      <c r="G48">
        <f>IFERROR(INDEX($F$3:$F$10,MATCH(C48,$B$3:$B$10,0)),0)</f>
        <v/>
      </c>
      <c r="H48" t="n">
        <v>0</v>
      </c>
      <c r="I48" t="n">
        <v>0</v>
      </c>
      <c r="J48">
        <f>(D48*E48)-H48</f>
        <v/>
      </c>
      <c r="K48">
        <f>IFERROR(INDEX($K$3:$K$10,MATCH(C48,$B$3:$B$10,0))*D48,0)</f>
        <v/>
      </c>
      <c r="L48">
        <f>J48-K48-I48</f>
        <v/>
      </c>
    </row>
    <row r="49">
      <c r="B49" s="72" t="n">
        <v>46210</v>
      </c>
      <c r="C49" t="inlineStr">
        <is>
          <t>Vela aromática grande</t>
        </is>
      </c>
      <c r="D49" t="n">
        <v>3</v>
      </c>
      <c r="E49">
        <f>IFERROR(INDEX($D$3:$D$10,MATCH(C49,$B$3:$B$10,0)),0)</f>
        <v/>
      </c>
      <c r="F49" t="inlineStr">
        <is>
          <t>Online</t>
        </is>
      </c>
      <c r="G49">
        <f>IFERROR(INDEX($F$3:$F$10,MATCH(C49,$B$3:$B$10,0)),0)</f>
        <v/>
      </c>
      <c r="H49" t="n">
        <v>0</v>
      </c>
      <c r="I49" t="n">
        <v>0</v>
      </c>
      <c r="J49">
        <f>(D49*E49)-H49</f>
        <v/>
      </c>
      <c r="K49">
        <f>IFERROR(INDEX($K$3:$K$10,MATCH(C49,$B$3:$B$10,0))*D49,0)</f>
        <v/>
      </c>
      <c r="L49">
        <f>J49-K49-I49</f>
        <v/>
      </c>
    </row>
    <row r="50">
      <c r="B50" s="72" t="n">
        <v>46211</v>
      </c>
      <c r="C50" t="inlineStr">
        <is>
          <t>Difusor de aromas</t>
        </is>
      </c>
      <c r="D50" t="n">
        <v>1</v>
      </c>
      <c r="E50">
        <f>IFERROR(INDEX($D$3:$D$10,MATCH(C50,$B$3:$B$10,0)),0)</f>
        <v/>
      </c>
      <c r="F50" t="inlineStr">
        <is>
          <t>Mayorista</t>
        </is>
      </c>
      <c r="G50">
        <f>IFERROR(INDEX($F$3:$F$10,MATCH(C50,$B$3:$B$10,0)),0)</f>
        <v/>
      </c>
      <c r="H50" t="n">
        <v>0</v>
      </c>
      <c r="I50" t="n">
        <v>0</v>
      </c>
      <c r="J50">
        <f>(D50*E50)-H50</f>
        <v/>
      </c>
      <c r="K50">
        <f>IFERROR(INDEX($K$3:$K$10,MATCH(C50,$B$3:$B$10,0))*D50,0)</f>
        <v/>
      </c>
      <c r="L50">
        <f>J50-K50-I50</f>
        <v/>
      </c>
    </row>
    <row r="51">
      <c r="B51" s="72" t="n">
        <v>46211</v>
      </c>
      <c r="C51" t="inlineStr">
        <is>
          <t>Vela aromática grande</t>
        </is>
      </c>
      <c r="D51" t="n">
        <v>2</v>
      </c>
      <c r="E51">
        <f>IFERROR(INDEX($D$3:$D$10,MATCH(C51,$B$3:$B$10,0)),0)</f>
        <v/>
      </c>
      <c r="F51" t="inlineStr">
        <is>
          <t>Feria</t>
        </is>
      </c>
      <c r="G51">
        <f>IFERROR(INDEX($F$3:$F$10,MATCH(C51,$B$3:$B$10,0)),0)</f>
        <v/>
      </c>
      <c r="H51" t="n">
        <v>0</v>
      </c>
      <c r="I51" t="n">
        <v>0</v>
      </c>
      <c r="J51">
        <f>(D51*E51)-H51</f>
        <v/>
      </c>
      <c r="K51">
        <f>IFERROR(INDEX($K$3:$K$10,MATCH(C51,$B$3:$B$10,0))*D51,0)</f>
        <v/>
      </c>
      <c r="L51">
        <f>J51-K51-I51</f>
        <v/>
      </c>
    </row>
    <row r="52">
      <c r="B52" s="72" t="n">
        <v>46211</v>
      </c>
      <c r="C52" t="inlineStr">
        <is>
          <t>Jabón artesanal</t>
        </is>
      </c>
      <c r="D52" t="n">
        <v>1</v>
      </c>
      <c r="E52">
        <f>IFERROR(INDEX($D$3:$D$10,MATCH(C52,$B$3:$B$10,0)),0)</f>
        <v/>
      </c>
      <c r="F52" t="inlineStr">
        <is>
          <t>Online</t>
        </is>
      </c>
      <c r="G52">
        <f>IFERROR(INDEX($F$3:$F$10,MATCH(C52,$B$3:$B$10,0)),0)</f>
        <v/>
      </c>
      <c r="H52" t="n">
        <v>500</v>
      </c>
      <c r="I52" t="n">
        <v>0</v>
      </c>
      <c r="J52">
        <f>(D52*E52)-H52</f>
        <v/>
      </c>
      <c r="K52">
        <f>IFERROR(INDEX($K$3:$K$10,MATCH(C52,$B$3:$B$10,0))*D52,0)</f>
        <v/>
      </c>
      <c r="L52">
        <f>J52-K52-I52</f>
        <v/>
      </c>
    </row>
    <row r="53">
      <c r="B53" s="72" t="n">
        <v>46213</v>
      </c>
      <c r="C53" t="inlineStr">
        <is>
          <t>Crema corporal</t>
        </is>
      </c>
      <c r="D53" t="n">
        <v>3</v>
      </c>
      <c r="E53">
        <f>IFERROR(INDEX($D$3:$D$10,MATCH(C53,$B$3:$B$10,0)),0)</f>
        <v/>
      </c>
      <c r="F53" t="inlineStr">
        <is>
          <t>Feria</t>
        </is>
      </c>
      <c r="G53">
        <f>IFERROR(INDEX($F$3:$F$10,MATCH(C53,$B$3:$B$10,0)),0)</f>
        <v/>
      </c>
      <c r="H53" t="n">
        <v>0</v>
      </c>
      <c r="I53" t="n">
        <v>0</v>
      </c>
      <c r="J53">
        <f>(D53*E53)-H53</f>
        <v/>
      </c>
      <c r="K53">
        <f>IFERROR(INDEX($K$3:$K$10,MATCH(C53,$B$3:$B$10,0))*D53,0)</f>
        <v/>
      </c>
      <c r="L53">
        <f>J53-K53-I53</f>
        <v/>
      </c>
    </row>
    <row r="54">
      <c r="B54" s="72" t="n">
        <v>46213</v>
      </c>
      <c r="C54" t="inlineStr">
        <is>
          <t>Vela aromática chica</t>
        </is>
      </c>
      <c r="D54" t="n">
        <v>2</v>
      </c>
      <c r="E54">
        <f>IFERROR(INDEX($D$3:$D$10,MATCH(C54,$B$3:$B$10,0)),0)</f>
        <v/>
      </c>
      <c r="F54" t="inlineStr">
        <is>
          <t>Local</t>
        </is>
      </c>
      <c r="G54">
        <f>IFERROR(INDEX($F$3:$F$10,MATCH(C54,$B$3:$B$10,0)),0)</f>
        <v/>
      </c>
      <c r="H54" t="n">
        <v>0</v>
      </c>
      <c r="I54" t="n">
        <v>0</v>
      </c>
      <c r="J54">
        <f>(D54*E54)-H54</f>
        <v/>
      </c>
      <c r="K54">
        <f>IFERROR(INDEX($K$3:$K$10,MATCH(C54,$B$3:$B$10,0))*D54,0)</f>
        <v/>
      </c>
      <c r="L54">
        <f>J54-K54-I54</f>
        <v/>
      </c>
    </row>
    <row r="55">
      <c r="B55" s="72" t="n">
        <v>46213</v>
      </c>
      <c r="C55" t="inlineStr">
        <is>
          <t>Jabón artesanal</t>
        </is>
      </c>
      <c r="D55" t="n">
        <v>1</v>
      </c>
      <c r="E55">
        <f>IFERROR(INDEX($D$3:$D$10,MATCH(C55,$B$3:$B$10,0)),0)</f>
        <v/>
      </c>
      <c r="F55" t="inlineStr">
        <is>
          <t>Online</t>
        </is>
      </c>
      <c r="G55">
        <f>IFERROR(INDEX($F$3:$F$10,MATCH(C55,$B$3:$B$10,0)),0)</f>
        <v/>
      </c>
      <c r="H55" t="n">
        <v>0</v>
      </c>
      <c r="I55" t="n">
        <v>0</v>
      </c>
      <c r="J55">
        <f>(D55*E55)-H55</f>
        <v/>
      </c>
      <c r="K55">
        <f>IFERROR(INDEX($K$3:$K$10,MATCH(C55,$B$3:$B$10,0))*D55,0)</f>
        <v/>
      </c>
      <c r="L55">
        <f>J55-K55-I55</f>
        <v/>
      </c>
    </row>
    <row r="56">
      <c r="B56" s="72" t="n">
        <v>46214</v>
      </c>
      <c r="C56" t="inlineStr">
        <is>
          <t>Vela aromática chica</t>
        </is>
      </c>
      <c r="D56" t="n">
        <v>1</v>
      </c>
      <c r="E56">
        <f>IFERROR(INDEX($D$3:$D$10,MATCH(C56,$B$3:$B$10,0)),0)</f>
        <v/>
      </c>
      <c r="F56" t="inlineStr">
        <is>
          <t>Mayorista</t>
        </is>
      </c>
      <c r="G56">
        <f>IFERROR(INDEX($F$3:$F$10,MATCH(C56,$B$3:$B$10,0)),0)</f>
        <v/>
      </c>
      <c r="H56" t="n">
        <v>200</v>
      </c>
      <c r="I56" t="n">
        <v>0</v>
      </c>
      <c r="J56">
        <f>(D56*E56)-H56</f>
        <v/>
      </c>
      <c r="K56">
        <f>IFERROR(INDEX($K$3:$K$10,MATCH(C56,$B$3:$B$10,0))*D56,0)</f>
        <v/>
      </c>
      <c r="L56">
        <f>J56-K56-I56</f>
        <v/>
      </c>
    </row>
    <row r="57">
      <c r="B57" s="72" t="n">
        <v>46218</v>
      </c>
      <c r="C57" t="inlineStr">
        <is>
          <t>Jabón artesanal</t>
        </is>
      </c>
      <c r="D57" t="n">
        <v>1</v>
      </c>
      <c r="E57">
        <f>IFERROR(INDEX($D$3:$D$10,MATCH(C57,$B$3:$B$10,0)),0)</f>
        <v/>
      </c>
      <c r="F57" t="inlineStr">
        <is>
          <t>Feria</t>
        </is>
      </c>
      <c r="G57">
        <f>IFERROR(INDEX($F$3:$F$10,MATCH(C57,$B$3:$B$10,0)),0)</f>
        <v/>
      </c>
      <c r="H57" t="n">
        <v>0</v>
      </c>
      <c r="I57" t="n">
        <v>0</v>
      </c>
      <c r="J57">
        <f>(D57*E57)-H57</f>
        <v/>
      </c>
      <c r="K57">
        <f>IFERROR(INDEX($K$3:$K$10,MATCH(C57,$B$3:$B$10,0))*D57,0)</f>
        <v/>
      </c>
      <c r="L57">
        <f>J57-K57-I57</f>
        <v/>
      </c>
    </row>
    <row r="58">
      <c r="B58" s="72" t="n">
        <v>46220</v>
      </c>
      <c r="C58" t="inlineStr">
        <is>
          <t>Jabón artesanal</t>
        </is>
      </c>
      <c r="D58" t="n">
        <v>1</v>
      </c>
      <c r="E58">
        <f>IFERROR(INDEX($D$3:$D$10,MATCH(C58,$B$3:$B$10,0)),0)</f>
        <v/>
      </c>
      <c r="F58" t="inlineStr">
        <is>
          <t>Mayorista</t>
        </is>
      </c>
      <c r="G58">
        <f>IFERROR(INDEX($F$3:$F$10,MATCH(C58,$B$3:$B$10,0)),0)</f>
        <v/>
      </c>
      <c r="H58" t="n">
        <v>0</v>
      </c>
      <c r="I58" t="n">
        <v>0</v>
      </c>
      <c r="J58">
        <f>(D58*E58)-H58</f>
        <v/>
      </c>
      <c r="K58">
        <f>IFERROR(INDEX($K$3:$K$10,MATCH(C58,$B$3:$B$10,0))*D58,0)</f>
        <v/>
      </c>
      <c r="L58">
        <f>J58-K58-I58</f>
        <v/>
      </c>
    </row>
    <row r="59">
      <c r="B59" s="72" t="n">
        <v>46221</v>
      </c>
      <c r="C59" t="inlineStr">
        <is>
          <t>Vela aromática chica</t>
        </is>
      </c>
      <c r="D59" t="n">
        <v>1</v>
      </c>
      <c r="E59">
        <f>IFERROR(INDEX($D$3:$D$10,MATCH(C59,$B$3:$B$10,0)),0)</f>
        <v/>
      </c>
      <c r="F59" t="inlineStr">
        <is>
          <t>Redes sociales</t>
        </is>
      </c>
      <c r="G59">
        <f>IFERROR(INDEX($F$3:$F$10,MATCH(C59,$B$3:$B$10,0)),0)</f>
        <v/>
      </c>
      <c r="H59" t="n">
        <v>0</v>
      </c>
      <c r="I59" t="n">
        <v>0</v>
      </c>
      <c r="J59">
        <f>(D59*E59)-H59</f>
        <v/>
      </c>
      <c r="K59">
        <f>IFERROR(INDEX($K$3:$K$10,MATCH(C59,$B$3:$B$10,0))*D59,0)</f>
        <v/>
      </c>
      <c r="L59">
        <f>J59-K59-I59</f>
        <v/>
      </c>
    </row>
    <row r="60">
      <c r="B60" s="72" t="n">
        <v>46221</v>
      </c>
      <c r="C60" t="inlineStr">
        <is>
          <t>Vela aromática chica</t>
        </is>
      </c>
      <c r="D60" t="n">
        <v>1</v>
      </c>
      <c r="E60">
        <f>IFERROR(INDEX($D$3:$D$10,MATCH(C60,$B$3:$B$10,0)),0)</f>
        <v/>
      </c>
      <c r="F60" t="inlineStr">
        <is>
          <t>Local</t>
        </is>
      </c>
      <c r="G60">
        <f>IFERROR(INDEX($F$3:$F$10,MATCH(C60,$B$3:$B$10,0)),0)</f>
        <v/>
      </c>
      <c r="H60" t="n">
        <v>0</v>
      </c>
      <c r="I60" t="n">
        <v>0</v>
      </c>
      <c r="J60">
        <f>(D60*E60)-H60</f>
        <v/>
      </c>
      <c r="K60">
        <f>IFERROR(INDEX($K$3:$K$10,MATCH(C60,$B$3:$B$10,0))*D60,0)</f>
        <v/>
      </c>
      <c r="L60">
        <f>J60-K60-I60</f>
        <v/>
      </c>
    </row>
    <row r="61">
      <c r="B61" s="72" t="n">
        <v>46223</v>
      </c>
      <c r="C61" t="inlineStr">
        <is>
          <t>Set de regalo premium</t>
        </is>
      </c>
      <c r="D61" t="n">
        <v>2</v>
      </c>
      <c r="E61">
        <f>IFERROR(INDEX($D$3:$D$10,MATCH(C61,$B$3:$B$10,0)),0)</f>
        <v/>
      </c>
      <c r="F61" t="inlineStr">
        <is>
          <t>Online</t>
        </is>
      </c>
      <c r="G61">
        <f>IFERROR(INDEX($F$3:$F$10,MATCH(C61,$B$3:$B$10,0)),0)</f>
        <v/>
      </c>
      <c r="H61" t="n">
        <v>200</v>
      </c>
      <c r="I61" t="n">
        <v>0</v>
      </c>
      <c r="J61">
        <f>(D61*E61)-H61</f>
        <v/>
      </c>
      <c r="K61">
        <f>IFERROR(INDEX($K$3:$K$10,MATCH(C61,$B$3:$B$10,0))*D61,0)</f>
        <v/>
      </c>
      <c r="L61">
        <f>J61-K61-I61</f>
        <v/>
      </c>
    </row>
    <row r="62">
      <c r="B62" s="72" t="n">
        <v>46223</v>
      </c>
      <c r="C62" t="inlineStr">
        <is>
          <t>Vela aromática grande</t>
        </is>
      </c>
      <c r="D62" t="n">
        <v>2</v>
      </c>
      <c r="E62">
        <f>IFERROR(INDEX($D$3:$D$10,MATCH(C62,$B$3:$B$10,0)),0)</f>
        <v/>
      </c>
      <c r="F62" t="inlineStr">
        <is>
          <t>Mayorista</t>
        </is>
      </c>
      <c r="G62">
        <f>IFERROR(INDEX($F$3:$F$10,MATCH(C62,$B$3:$B$10,0)),0)</f>
        <v/>
      </c>
      <c r="H62" t="n">
        <v>0</v>
      </c>
      <c r="I62" t="n">
        <v>0</v>
      </c>
      <c r="J62">
        <f>(D62*E62)-H62</f>
        <v/>
      </c>
      <c r="K62">
        <f>IFERROR(INDEX($K$3:$K$10,MATCH(C62,$B$3:$B$10,0))*D62,0)</f>
        <v/>
      </c>
      <c r="L62">
        <f>J62-K62-I62</f>
        <v/>
      </c>
    </row>
    <row r="63">
      <c r="B63" s="72" t="n">
        <v>46225</v>
      </c>
      <c r="C63" t="inlineStr">
        <is>
          <t>Kit spa en casa</t>
        </is>
      </c>
      <c r="D63" t="n">
        <v>1</v>
      </c>
      <c r="E63">
        <f>IFERROR(INDEX($D$3:$D$10,MATCH(C63,$B$3:$B$10,0)),0)</f>
        <v/>
      </c>
      <c r="F63" t="inlineStr">
        <is>
          <t>Mayorista</t>
        </is>
      </c>
      <c r="G63">
        <f>IFERROR(INDEX($F$3:$F$10,MATCH(C63,$B$3:$B$10,0)),0)</f>
        <v/>
      </c>
      <c r="H63" t="n">
        <v>200</v>
      </c>
      <c r="I63" t="n">
        <v>0</v>
      </c>
      <c r="J63">
        <f>(D63*E63)-H63</f>
        <v/>
      </c>
      <c r="K63">
        <f>IFERROR(INDEX($K$3:$K$10,MATCH(C63,$B$3:$B$10,0))*D63,0)</f>
        <v/>
      </c>
      <c r="L63">
        <f>J63-K63-I63</f>
        <v/>
      </c>
    </row>
    <row r="64">
      <c r="B64" s="72" t="n">
        <v>46226</v>
      </c>
      <c r="C64" t="inlineStr">
        <is>
          <t>Crema corporal</t>
        </is>
      </c>
      <c r="D64" t="n">
        <v>1</v>
      </c>
      <c r="E64">
        <f>IFERROR(INDEX($D$3:$D$10,MATCH(C64,$B$3:$B$10,0)),0)</f>
        <v/>
      </c>
      <c r="F64" t="inlineStr">
        <is>
          <t>Online</t>
        </is>
      </c>
      <c r="G64">
        <f>IFERROR(INDEX($F$3:$F$10,MATCH(C64,$B$3:$B$10,0)),0)</f>
        <v/>
      </c>
      <c r="H64" t="n">
        <v>200</v>
      </c>
      <c r="I64" t="n">
        <v>0</v>
      </c>
      <c r="J64">
        <f>(D64*E64)-H64</f>
        <v/>
      </c>
      <c r="K64">
        <f>IFERROR(INDEX($K$3:$K$10,MATCH(C64,$B$3:$B$10,0))*D64,0)</f>
        <v/>
      </c>
      <c r="L64">
        <f>J64-K64-I64</f>
        <v/>
      </c>
    </row>
    <row r="65">
      <c r="B65" s="72" t="n">
        <v>46226</v>
      </c>
      <c r="C65" t="inlineStr">
        <is>
          <t>Jabón artesanal</t>
        </is>
      </c>
      <c r="D65" t="n">
        <v>2</v>
      </c>
      <c r="E65">
        <f>IFERROR(INDEX($D$3:$D$10,MATCH(C65,$B$3:$B$10,0)),0)</f>
        <v/>
      </c>
      <c r="F65" t="inlineStr">
        <is>
          <t>Mayorista</t>
        </is>
      </c>
      <c r="G65">
        <f>IFERROR(INDEX($F$3:$F$10,MATCH(C65,$B$3:$B$10,0)),0)</f>
        <v/>
      </c>
      <c r="H65" t="n">
        <v>500</v>
      </c>
      <c r="I65" t="n">
        <v>0</v>
      </c>
      <c r="J65">
        <f>(D65*E65)-H65</f>
        <v/>
      </c>
      <c r="K65">
        <f>IFERROR(INDEX($K$3:$K$10,MATCH(C65,$B$3:$B$10,0))*D65,0)</f>
        <v/>
      </c>
      <c r="L65">
        <f>J65-K65-I65</f>
        <v/>
      </c>
    </row>
    <row r="66">
      <c r="B66" s="72" t="n">
        <v>46227</v>
      </c>
      <c r="C66" t="inlineStr">
        <is>
          <t>Jabón artesanal</t>
        </is>
      </c>
      <c r="D66" t="n">
        <v>1</v>
      </c>
      <c r="E66">
        <f>IFERROR(INDEX($D$3:$D$10,MATCH(C66,$B$3:$B$10,0)),0)</f>
        <v/>
      </c>
      <c r="F66" t="inlineStr">
        <is>
          <t>Online</t>
        </is>
      </c>
      <c r="G66">
        <f>IFERROR(INDEX($F$3:$F$10,MATCH(C66,$B$3:$B$10,0)),0)</f>
        <v/>
      </c>
      <c r="H66" t="n">
        <v>0</v>
      </c>
      <c r="I66" t="n">
        <v>0</v>
      </c>
      <c r="J66">
        <f>(D66*E66)-H66</f>
        <v/>
      </c>
      <c r="K66">
        <f>IFERROR(INDEX($K$3:$K$10,MATCH(C66,$B$3:$B$10,0))*D66,0)</f>
        <v/>
      </c>
      <c r="L66">
        <f>J66-K66-I66</f>
        <v/>
      </c>
    </row>
    <row r="67">
      <c r="B67" s="72" t="n">
        <v>46228</v>
      </c>
      <c r="C67" t="inlineStr">
        <is>
          <t>Vela aromática grande</t>
        </is>
      </c>
      <c r="D67" t="n">
        <v>2</v>
      </c>
      <c r="E67">
        <f>IFERROR(INDEX($D$3:$D$10,MATCH(C67,$B$3:$B$10,0)),0)</f>
        <v/>
      </c>
      <c r="F67" t="inlineStr">
        <is>
          <t>Mayorista</t>
        </is>
      </c>
      <c r="G67">
        <f>IFERROR(INDEX($F$3:$F$10,MATCH(C67,$B$3:$B$10,0)),0)</f>
        <v/>
      </c>
      <c r="H67" t="n">
        <v>500</v>
      </c>
      <c r="I67" t="n">
        <v>0</v>
      </c>
      <c r="J67">
        <f>(D67*E67)-H67</f>
        <v/>
      </c>
      <c r="K67">
        <f>IFERROR(INDEX($K$3:$K$10,MATCH(C67,$B$3:$B$10,0))*D67,0)</f>
        <v/>
      </c>
      <c r="L67">
        <f>J67-K67-I67</f>
        <v/>
      </c>
    </row>
    <row r="68">
      <c r="B68" s="72" t="n">
        <v>46231</v>
      </c>
      <c r="C68" t="inlineStr">
        <is>
          <t>Vela aromática chica</t>
        </is>
      </c>
      <c r="D68" t="n">
        <v>1</v>
      </c>
      <c r="E68">
        <f>IFERROR(INDEX($D$3:$D$10,MATCH(C68,$B$3:$B$10,0)),0)</f>
        <v/>
      </c>
      <c r="F68" t="inlineStr">
        <is>
          <t>Feria</t>
        </is>
      </c>
      <c r="G68">
        <f>IFERROR(INDEX($F$3:$F$10,MATCH(C68,$B$3:$B$10,0)),0)</f>
        <v/>
      </c>
      <c r="H68" t="n">
        <v>0</v>
      </c>
      <c r="I68" t="n">
        <v>0</v>
      </c>
      <c r="J68">
        <f>(D68*E68)-H68</f>
        <v/>
      </c>
      <c r="K68">
        <f>IFERROR(INDEX($K$3:$K$10,MATCH(C68,$B$3:$B$10,0))*D68,0)</f>
        <v/>
      </c>
      <c r="L68">
        <f>J68-K68-I68</f>
        <v/>
      </c>
    </row>
    <row r="69">
      <c r="B69" s="72" t="n">
        <v>46232</v>
      </c>
      <c r="C69" t="inlineStr">
        <is>
          <t>Difusor de aromas</t>
        </is>
      </c>
      <c r="D69" t="n">
        <v>3</v>
      </c>
      <c r="E69">
        <f>IFERROR(INDEX($D$3:$D$10,MATCH(C69,$B$3:$B$10,0)),0)</f>
        <v/>
      </c>
      <c r="F69" t="inlineStr">
        <is>
          <t>Mayorista</t>
        </is>
      </c>
      <c r="G69">
        <f>IFERROR(INDEX($F$3:$F$10,MATCH(C69,$B$3:$B$10,0)),0)</f>
        <v/>
      </c>
      <c r="H69" t="n">
        <v>0</v>
      </c>
      <c r="I69" t="n">
        <v>0</v>
      </c>
      <c r="J69">
        <f>(D69*E69)-H69</f>
        <v/>
      </c>
      <c r="K69">
        <f>IFERROR(INDEX($K$3:$K$10,MATCH(C69,$B$3:$B$10,0))*D69,0)</f>
        <v/>
      </c>
      <c r="L69">
        <f>J69-K69-I69</f>
        <v/>
      </c>
    </row>
    <row r="70">
      <c r="B70" s="72" t="n">
        <v>46232</v>
      </c>
      <c r="C70" t="inlineStr">
        <is>
          <t>Vela aromática grande</t>
        </is>
      </c>
      <c r="D70" t="n">
        <v>1</v>
      </c>
      <c r="E70">
        <f>IFERROR(INDEX($D$3:$D$10,MATCH(C70,$B$3:$B$10,0)),0)</f>
        <v/>
      </c>
      <c r="F70" t="inlineStr">
        <is>
          <t>Online</t>
        </is>
      </c>
      <c r="G70">
        <f>IFERROR(INDEX($F$3:$F$10,MATCH(C70,$B$3:$B$10,0)),0)</f>
        <v/>
      </c>
      <c r="H70" t="n">
        <v>0</v>
      </c>
      <c r="I70" t="n">
        <v>0</v>
      </c>
      <c r="J70">
        <f>(D70*E70)-H70</f>
        <v/>
      </c>
      <c r="K70">
        <f>IFERROR(INDEX($K$3:$K$10,MATCH(C70,$B$3:$B$10,0))*D70,0)</f>
        <v/>
      </c>
      <c r="L70">
        <f>J70-K70-I70</f>
        <v/>
      </c>
    </row>
    <row r="71">
      <c r="B71" s="72" t="n">
        <v>46232</v>
      </c>
      <c r="C71" t="inlineStr">
        <is>
          <t>Vela aromática grande</t>
        </is>
      </c>
      <c r="D71" t="n">
        <v>1</v>
      </c>
      <c r="E71">
        <f>IFERROR(INDEX($D$3:$D$10,MATCH(C71,$B$3:$B$10,0)),0)</f>
        <v/>
      </c>
      <c r="F71" t="inlineStr">
        <is>
          <t>Redes sociales</t>
        </is>
      </c>
      <c r="G71">
        <f>IFERROR(INDEX($F$3:$F$10,MATCH(C71,$B$3:$B$10,0)),0)</f>
        <v/>
      </c>
      <c r="H71" t="n">
        <v>200</v>
      </c>
      <c r="I71" t="n">
        <v>0</v>
      </c>
      <c r="J71">
        <f>(D71*E71)-H71</f>
        <v/>
      </c>
      <c r="K71">
        <f>IFERROR(INDEX($K$3:$K$10,MATCH(C71,$B$3:$B$10,0))*D71,0)</f>
        <v/>
      </c>
      <c r="L71">
        <f>J71-K71-I71</f>
        <v/>
      </c>
    </row>
    <row r="72">
      <c r="B72" s="72" t="n">
        <v>46234</v>
      </c>
      <c r="C72" t="inlineStr">
        <is>
          <t>Crema corporal</t>
        </is>
      </c>
      <c r="D72" t="n">
        <v>1</v>
      </c>
      <c r="E72">
        <f>IFERROR(INDEX($D$3:$D$10,MATCH(C72,$B$3:$B$10,0)),0)</f>
        <v/>
      </c>
      <c r="F72" t="inlineStr">
        <is>
          <t>Local</t>
        </is>
      </c>
      <c r="G72">
        <f>IFERROR(INDEX($F$3:$F$10,MATCH(C72,$B$3:$B$10,0)),0)</f>
        <v/>
      </c>
      <c r="H72" t="n">
        <v>500</v>
      </c>
      <c r="I72" t="n">
        <v>0</v>
      </c>
      <c r="J72">
        <f>(D72*E72)-H72</f>
        <v/>
      </c>
      <c r="K72">
        <f>IFERROR(INDEX($K$3:$K$10,MATCH(C72,$B$3:$B$10,0))*D72,0)</f>
        <v/>
      </c>
      <c r="L72">
        <f>J72-K72-I72</f>
        <v/>
      </c>
    </row>
    <row r="73">
      <c r="B73" s="72" t="n">
        <v>46234</v>
      </c>
      <c r="C73" t="inlineStr">
        <is>
          <t>Vela aromática grande</t>
        </is>
      </c>
      <c r="D73" t="n">
        <v>2</v>
      </c>
      <c r="E73">
        <f>IFERROR(INDEX($D$3:$D$10,MATCH(C73,$B$3:$B$10,0)),0)</f>
        <v/>
      </c>
      <c r="F73" t="inlineStr">
        <is>
          <t>Online</t>
        </is>
      </c>
      <c r="G73">
        <f>IFERROR(INDEX($F$3:$F$10,MATCH(C73,$B$3:$B$10,0)),0)</f>
        <v/>
      </c>
      <c r="H73" t="n">
        <v>0</v>
      </c>
      <c r="I73" t="n">
        <v>0</v>
      </c>
      <c r="J73">
        <f>(D73*E73)-H73</f>
        <v/>
      </c>
      <c r="K73">
        <f>IFERROR(INDEX($K$3:$K$10,MATCH(C73,$B$3:$B$10,0))*D73,0)</f>
        <v/>
      </c>
      <c r="L73">
        <f>J73-K73-I73</f>
        <v/>
      </c>
    </row>
    <row r="74">
      <c r="B74" s="72" t="n">
        <v>46234</v>
      </c>
      <c r="C74" t="inlineStr">
        <is>
          <t>Crema corporal</t>
        </is>
      </c>
      <c r="D74" t="n">
        <v>2</v>
      </c>
      <c r="E74">
        <f>IFERROR(INDEX($D$3:$D$10,MATCH(C74,$B$3:$B$10,0)),0)</f>
        <v/>
      </c>
      <c r="F74" t="inlineStr">
        <is>
          <t>Mayorista</t>
        </is>
      </c>
      <c r="G74">
        <f>IFERROR(INDEX($F$3:$F$10,MATCH(C74,$B$3:$B$10,0)),0)</f>
        <v/>
      </c>
      <c r="H74" t="n">
        <v>0</v>
      </c>
      <c r="I74" t="n">
        <v>0</v>
      </c>
      <c r="J74">
        <f>(D74*E74)-H74</f>
        <v/>
      </c>
      <c r="K74">
        <f>IFERROR(INDEX($K$3:$K$10,MATCH(C74,$B$3:$B$10,0))*D74,0)</f>
        <v/>
      </c>
      <c r="L74">
        <f>J74-K74-I74</f>
        <v/>
      </c>
    </row>
    <row r="75">
      <c r="B75" s="72" t="n">
        <v>46235</v>
      </c>
      <c r="C75" t="inlineStr">
        <is>
          <t>Vela aromática chica</t>
        </is>
      </c>
      <c r="D75" t="n">
        <v>3</v>
      </c>
      <c r="E75">
        <f>IFERROR(INDEX($D$3:$D$10,MATCH(C75,$B$3:$B$10,0)),0)</f>
        <v/>
      </c>
      <c r="F75" t="inlineStr">
        <is>
          <t>Local</t>
        </is>
      </c>
      <c r="G75">
        <f>IFERROR(INDEX($F$3:$F$10,MATCH(C75,$B$3:$B$10,0)),0)</f>
        <v/>
      </c>
      <c r="H75" t="n">
        <v>500</v>
      </c>
      <c r="I75" t="n">
        <v>0</v>
      </c>
      <c r="J75">
        <f>(D75*E75)-H75</f>
        <v/>
      </c>
      <c r="K75">
        <f>IFERROR(INDEX($K$3:$K$10,MATCH(C75,$B$3:$B$10,0))*D75,0)</f>
        <v/>
      </c>
      <c r="L75">
        <f>J75-K75-I75</f>
        <v/>
      </c>
    </row>
    <row r="76">
      <c r="B76" s="72" t="n">
        <v>46235</v>
      </c>
      <c r="C76" t="inlineStr">
        <is>
          <t>Vela aromática grande</t>
        </is>
      </c>
      <c r="D76" t="n">
        <v>1</v>
      </c>
      <c r="E76">
        <f>IFERROR(INDEX($D$3:$D$10,MATCH(C76,$B$3:$B$10,0)),0)</f>
        <v/>
      </c>
      <c r="F76" t="inlineStr">
        <is>
          <t>Local</t>
        </is>
      </c>
      <c r="G76">
        <f>IFERROR(INDEX($F$3:$F$10,MATCH(C76,$B$3:$B$10,0)),0)</f>
        <v/>
      </c>
      <c r="H76" t="n">
        <v>0</v>
      </c>
      <c r="I76" t="n">
        <v>0</v>
      </c>
      <c r="J76">
        <f>(D76*E76)-H76</f>
        <v/>
      </c>
      <c r="K76">
        <f>IFERROR(INDEX($K$3:$K$10,MATCH(C76,$B$3:$B$10,0))*D76,0)</f>
        <v/>
      </c>
      <c r="L76">
        <f>J76-K76-I76</f>
        <v/>
      </c>
    </row>
    <row r="77">
      <c r="B77" s="72" t="n">
        <v>46236</v>
      </c>
      <c r="C77" t="inlineStr">
        <is>
          <t>Difusor de aromas</t>
        </is>
      </c>
      <c r="D77" t="n">
        <v>1</v>
      </c>
      <c r="E77">
        <f>IFERROR(INDEX($D$3:$D$10,MATCH(C77,$B$3:$B$10,0)),0)</f>
        <v/>
      </c>
      <c r="F77" t="inlineStr">
        <is>
          <t>Feria</t>
        </is>
      </c>
      <c r="G77">
        <f>IFERROR(INDEX($F$3:$F$10,MATCH(C77,$B$3:$B$10,0)),0)</f>
        <v/>
      </c>
      <c r="H77" t="n">
        <v>200</v>
      </c>
      <c r="I77" t="n">
        <v>0</v>
      </c>
      <c r="J77">
        <f>(D77*E77)-H77</f>
        <v/>
      </c>
      <c r="K77">
        <f>IFERROR(INDEX($K$3:$K$10,MATCH(C77,$B$3:$B$10,0))*D77,0)</f>
        <v/>
      </c>
      <c r="L77">
        <f>J77-K77-I77</f>
        <v/>
      </c>
    </row>
    <row r="78">
      <c r="B78" s="72" t="n">
        <v>46236</v>
      </c>
      <c r="C78" t="inlineStr">
        <is>
          <t>Kit spa en casa</t>
        </is>
      </c>
      <c r="D78" t="n">
        <v>3</v>
      </c>
      <c r="E78">
        <f>IFERROR(INDEX($D$3:$D$10,MATCH(C78,$B$3:$B$10,0)),0)</f>
        <v/>
      </c>
      <c r="F78" t="inlineStr">
        <is>
          <t>Mayorista</t>
        </is>
      </c>
      <c r="G78">
        <f>IFERROR(INDEX($F$3:$F$10,MATCH(C78,$B$3:$B$10,0)),0)</f>
        <v/>
      </c>
      <c r="H78" t="n">
        <v>0</v>
      </c>
      <c r="I78" t="n">
        <v>0</v>
      </c>
      <c r="J78">
        <f>(D78*E78)-H78</f>
        <v/>
      </c>
      <c r="K78">
        <f>IFERROR(INDEX($K$3:$K$10,MATCH(C78,$B$3:$B$10,0))*D78,0)</f>
        <v/>
      </c>
      <c r="L78">
        <f>J78-K78-I78</f>
        <v/>
      </c>
    </row>
    <row r="79">
      <c r="B79" s="72" t="n">
        <v>46236</v>
      </c>
      <c r="C79" t="inlineStr">
        <is>
          <t>Jabón artesanal</t>
        </is>
      </c>
      <c r="D79" t="n">
        <v>1</v>
      </c>
      <c r="E79">
        <f>IFERROR(INDEX($D$3:$D$10,MATCH(C79,$B$3:$B$10,0)),0)</f>
        <v/>
      </c>
      <c r="F79" t="inlineStr">
        <is>
          <t>Local</t>
        </is>
      </c>
      <c r="G79">
        <f>IFERROR(INDEX($F$3:$F$10,MATCH(C79,$B$3:$B$10,0)),0)</f>
        <v/>
      </c>
      <c r="H79" t="n">
        <v>0</v>
      </c>
      <c r="I79" t="n">
        <v>0</v>
      </c>
      <c r="J79">
        <f>(D79*E79)-H79</f>
        <v/>
      </c>
      <c r="K79">
        <f>IFERROR(INDEX($K$3:$K$10,MATCH(C79,$B$3:$B$10,0))*D79,0)</f>
        <v/>
      </c>
      <c r="L79">
        <f>J79-K79-I79</f>
        <v/>
      </c>
    </row>
    <row r="80">
      <c r="B80" s="72" t="n">
        <v>46238</v>
      </c>
      <c r="C80" t="inlineStr">
        <is>
          <t>Vela aromática chica</t>
        </is>
      </c>
      <c r="D80" t="n">
        <v>1</v>
      </c>
      <c r="E80">
        <f>IFERROR(INDEX($D$3:$D$10,MATCH(C80,$B$3:$B$10,0)),0)</f>
        <v/>
      </c>
      <c r="F80" t="inlineStr">
        <is>
          <t>Online</t>
        </is>
      </c>
      <c r="G80">
        <f>IFERROR(INDEX($F$3:$F$10,MATCH(C80,$B$3:$B$10,0)),0)</f>
        <v/>
      </c>
      <c r="H80" t="n">
        <v>0</v>
      </c>
      <c r="I80" t="n">
        <v>0</v>
      </c>
      <c r="J80">
        <f>(D80*E80)-H80</f>
        <v/>
      </c>
      <c r="K80">
        <f>IFERROR(INDEX($K$3:$K$10,MATCH(C80,$B$3:$B$10,0))*D80,0)</f>
        <v/>
      </c>
      <c r="L80">
        <f>J80-K80-I80</f>
        <v/>
      </c>
    </row>
    <row r="81">
      <c r="B81" s="72" t="n">
        <v>46239</v>
      </c>
      <c r="C81" t="inlineStr">
        <is>
          <t>Vela aromática grande</t>
        </is>
      </c>
      <c r="D81" t="n">
        <v>2</v>
      </c>
      <c r="E81">
        <f>IFERROR(INDEX($D$3:$D$10,MATCH(C81,$B$3:$B$10,0)),0)</f>
        <v/>
      </c>
      <c r="F81" t="inlineStr">
        <is>
          <t>Online</t>
        </is>
      </c>
      <c r="G81">
        <f>IFERROR(INDEX($F$3:$F$10,MATCH(C81,$B$3:$B$10,0)),0)</f>
        <v/>
      </c>
      <c r="H81" t="n">
        <v>200</v>
      </c>
      <c r="I81" t="n">
        <v>0</v>
      </c>
      <c r="J81">
        <f>(D81*E81)-H81</f>
        <v/>
      </c>
      <c r="K81">
        <f>IFERROR(INDEX($K$3:$K$10,MATCH(C81,$B$3:$B$10,0))*D81,0)</f>
        <v/>
      </c>
      <c r="L81">
        <f>J81-K81-I81</f>
        <v/>
      </c>
    </row>
    <row r="82">
      <c r="B82" s="72" t="n">
        <v>46240</v>
      </c>
      <c r="C82" t="inlineStr">
        <is>
          <t>Vela aromática grande</t>
        </is>
      </c>
      <c r="D82" t="n">
        <v>2</v>
      </c>
      <c r="E82">
        <f>IFERROR(INDEX($D$3:$D$10,MATCH(C82,$B$3:$B$10,0)),0)</f>
        <v/>
      </c>
      <c r="F82" t="inlineStr">
        <is>
          <t>Online</t>
        </is>
      </c>
      <c r="G82">
        <f>IFERROR(INDEX($F$3:$F$10,MATCH(C82,$B$3:$B$10,0)),0)</f>
        <v/>
      </c>
      <c r="H82" t="n">
        <v>0</v>
      </c>
      <c r="I82" t="n">
        <v>0</v>
      </c>
      <c r="J82">
        <f>(D82*E82)-H82</f>
        <v/>
      </c>
      <c r="K82">
        <f>IFERROR(INDEX($K$3:$K$10,MATCH(C82,$B$3:$B$10,0))*D82,0)</f>
        <v/>
      </c>
      <c r="L82">
        <f>J82-K82-I82</f>
        <v/>
      </c>
    </row>
    <row r="83">
      <c r="B83" s="72" t="n">
        <v>46240</v>
      </c>
      <c r="C83" t="inlineStr">
        <is>
          <t>Sahumerio x12</t>
        </is>
      </c>
      <c r="D83" t="n">
        <v>1</v>
      </c>
      <c r="E83">
        <f>IFERROR(INDEX($D$3:$D$10,MATCH(C83,$B$3:$B$10,0)),0)</f>
        <v/>
      </c>
      <c r="F83" t="inlineStr">
        <is>
          <t>Redes sociales</t>
        </is>
      </c>
      <c r="G83">
        <f>IFERROR(INDEX($F$3:$F$10,MATCH(C83,$B$3:$B$10,0)),0)</f>
        <v/>
      </c>
      <c r="H83" t="n">
        <v>500</v>
      </c>
      <c r="I83" t="n">
        <v>0</v>
      </c>
      <c r="J83">
        <f>(D83*E83)-H83</f>
        <v/>
      </c>
      <c r="K83">
        <f>IFERROR(INDEX($K$3:$K$10,MATCH(C83,$B$3:$B$10,0))*D83,0)</f>
        <v/>
      </c>
      <c r="L83">
        <f>J83-K83-I83</f>
        <v/>
      </c>
    </row>
    <row r="84">
      <c r="B84" s="72" t="n">
        <v>46241</v>
      </c>
      <c r="C84" t="inlineStr">
        <is>
          <t>Difusor de aromas</t>
        </is>
      </c>
      <c r="D84" t="n">
        <v>2</v>
      </c>
      <c r="E84">
        <f>IFERROR(INDEX($D$3:$D$10,MATCH(C84,$B$3:$B$10,0)),0)</f>
        <v/>
      </c>
      <c r="F84" t="inlineStr">
        <is>
          <t>Online</t>
        </is>
      </c>
      <c r="G84">
        <f>IFERROR(INDEX($F$3:$F$10,MATCH(C84,$B$3:$B$10,0)),0)</f>
        <v/>
      </c>
      <c r="H84" t="n">
        <v>200</v>
      </c>
      <c r="I84" t="n">
        <v>0</v>
      </c>
      <c r="J84">
        <f>(D84*E84)-H84</f>
        <v/>
      </c>
      <c r="K84">
        <f>IFERROR(INDEX($K$3:$K$10,MATCH(C84,$B$3:$B$10,0))*D84,0)</f>
        <v/>
      </c>
      <c r="L84">
        <f>J84-K84-I84</f>
        <v/>
      </c>
    </row>
    <row r="85">
      <c r="B85" s="72" t="n">
        <v>46241</v>
      </c>
      <c r="C85" t="inlineStr">
        <is>
          <t>Vela aromática grande</t>
        </is>
      </c>
      <c r="D85" t="n">
        <v>2</v>
      </c>
      <c r="E85">
        <f>IFERROR(INDEX($D$3:$D$10,MATCH(C85,$B$3:$B$10,0)),0)</f>
        <v/>
      </c>
      <c r="F85" t="inlineStr">
        <is>
          <t>Local</t>
        </is>
      </c>
      <c r="G85">
        <f>IFERROR(INDEX($F$3:$F$10,MATCH(C85,$B$3:$B$10,0)),0)</f>
        <v/>
      </c>
      <c r="H85" t="n">
        <v>0</v>
      </c>
      <c r="I85" t="n">
        <v>0</v>
      </c>
      <c r="J85">
        <f>(D85*E85)-H85</f>
        <v/>
      </c>
      <c r="K85">
        <f>IFERROR(INDEX($K$3:$K$10,MATCH(C85,$B$3:$B$10,0))*D85,0)</f>
        <v/>
      </c>
      <c r="L85">
        <f>J85-K85-I85</f>
        <v/>
      </c>
    </row>
    <row r="86">
      <c r="B86" s="72" t="n">
        <v>46242</v>
      </c>
      <c r="C86" t="inlineStr">
        <is>
          <t>Jabón artesanal</t>
        </is>
      </c>
      <c r="D86" t="n">
        <v>1</v>
      </c>
      <c r="E86">
        <f>IFERROR(INDEX($D$3:$D$10,MATCH(C86,$B$3:$B$10,0)),0)</f>
        <v/>
      </c>
      <c r="F86" t="inlineStr">
        <is>
          <t>Online</t>
        </is>
      </c>
      <c r="G86">
        <f>IFERROR(INDEX($F$3:$F$10,MATCH(C86,$B$3:$B$10,0)),0)</f>
        <v/>
      </c>
      <c r="H86" t="n">
        <v>0</v>
      </c>
      <c r="I86" t="n">
        <v>0</v>
      </c>
      <c r="J86">
        <f>(D86*E86)-H86</f>
        <v/>
      </c>
      <c r="K86">
        <f>IFERROR(INDEX($K$3:$K$10,MATCH(C86,$B$3:$B$10,0))*D86,0)</f>
        <v/>
      </c>
      <c r="L86">
        <f>J86-K86-I86</f>
        <v/>
      </c>
    </row>
    <row r="87">
      <c r="B87" s="72" t="n">
        <v>46243</v>
      </c>
      <c r="C87" t="inlineStr">
        <is>
          <t>Jabón artesanal</t>
        </is>
      </c>
      <c r="D87" t="n">
        <v>1</v>
      </c>
      <c r="E87">
        <f>IFERROR(INDEX($D$3:$D$10,MATCH(C87,$B$3:$B$10,0)),0)</f>
        <v/>
      </c>
      <c r="F87" t="inlineStr">
        <is>
          <t>Feria</t>
        </is>
      </c>
      <c r="G87">
        <f>IFERROR(INDEX($F$3:$F$10,MATCH(C87,$B$3:$B$10,0)),0)</f>
        <v/>
      </c>
      <c r="H87" t="n">
        <v>0</v>
      </c>
      <c r="I87" t="n">
        <v>0</v>
      </c>
      <c r="J87">
        <f>(D87*E87)-H87</f>
        <v/>
      </c>
      <c r="K87">
        <f>IFERROR(INDEX($K$3:$K$10,MATCH(C87,$B$3:$B$10,0))*D87,0)</f>
        <v/>
      </c>
      <c r="L87">
        <f>J87-K87-I87</f>
        <v/>
      </c>
    </row>
    <row r="88">
      <c r="B88" s="72" t="n">
        <v>46243</v>
      </c>
      <c r="C88" t="inlineStr">
        <is>
          <t>Vela aromática chica</t>
        </is>
      </c>
      <c r="D88" t="n">
        <v>2</v>
      </c>
      <c r="E88">
        <f>IFERROR(INDEX($D$3:$D$10,MATCH(C88,$B$3:$B$10,0)),0)</f>
        <v/>
      </c>
      <c r="F88" t="inlineStr">
        <is>
          <t>Feria</t>
        </is>
      </c>
      <c r="G88">
        <f>IFERROR(INDEX($F$3:$F$10,MATCH(C88,$B$3:$B$10,0)),0)</f>
        <v/>
      </c>
      <c r="H88" t="n">
        <v>200</v>
      </c>
      <c r="I88" t="n">
        <v>0</v>
      </c>
      <c r="J88">
        <f>(D88*E88)-H88</f>
        <v/>
      </c>
      <c r="K88">
        <f>IFERROR(INDEX($K$3:$K$10,MATCH(C88,$B$3:$B$10,0))*D88,0)</f>
        <v/>
      </c>
      <c r="L88">
        <f>J88-K88-I88</f>
        <v/>
      </c>
    </row>
    <row r="89">
      <c r="B89" s="72" t="n">
        <v>46243</v>
      </c>
      <c r="C89" t="inlineStr">
        <is>
          <t>Vela aromática chica</t>
        </is>
      </c>
      <c r="D89" t="n">
        <v>1</v>
      </c>
      <c r="E89">
        <f>IFERROR(INDEX($D$3:$D$10,MATCH(C89,$B$3:$B$10,0)),0)</f>
        <v/>
      </c>
      <c r="F89" t="inlineStr">
        <is>
          <t>Feria</t>
        </is>
      </c>
      <c r="G89">
        <f>IFERROR(INDEX($F$3:$F$10,MATCH(C89,$B$3:$B$10,0)),0)</f>
        <v/>
      </c>
      <c r="H89" t="n">
        <v>0</v>
      </c>
      <c r="I89" t="n">
        <v>0</v>
      </c>
      <c r="J89">
        <f>(D89*E89)-H89</f>
        <v/>
      </c>
      <c r="K89">
        <f>IFERROR(INDEX($K$3:$K$10,MATCH(C89,$B$3:$B$10,0))*D89,0)</f>
        <v/>
      </c>
      <c r="L89">
        <f>J89-K89-I89</f>
        <v/>
      </c>
    </row>
    <row r="90">
      <c r="B90" s="72" t="n">
        <v>46244</v>
      </c>
      <c r="C90" t="inlineStr">
        <is>
          <t>Vela aromática grande</t>
        </is>
      </c>
      <c r="D90" t="n">
        <v>1</v>
      </c>
      <c r="E90">
        <f>IFERROR(INDEX($D$3:$D$10,MATCH(C90,$B$3:$B$10,0)),0)</f>
        <v/>
      </c>
      <c r="F90" t="inlineStr">
        <is>
          <t>Local</t>
        </is>
      </c>
      <c r="G90">
        <f>IFERROR(INDEX($F$3:$F$10,MATCH(C90,$B$3:$B$10,0)),0)</f>
        <v/>
      </c>
      <c r="H90" t="n">
        <v>200</v>
      </c>
      <c r="I90" t="n">
        <v>0</v>
      </c>
      <c r="J90">
        <f>(D90*E90)-H90</f>
        <v/>
      </c>
      <c r="K90">
        <f>IFERROR(INDEX($K$3:$K$10,MATCH(C90,$B$3:$B$10,0))*D90,0)</f>
        <v/>
      </c>
      <c r="L90">
        <f>J90-K90-I90</f>
        <v/>
      </c>
    </row>
    <row r="91">
      <c r="B91" s="72" t="n">
        <v>46245</v>
      </c>
      <c r="C91" t="inlineStr">
        <is>
          <t>Jabón artesanal</t>
        </is>
      </c>
      <c r="D91" t="n">
        <v>1</v>
      </c>
      <c r="E91">
        <f>IFERROR(INDEX($D$3:$D$10,MATCH(C91,$B$3:$B$10,0)),0)</f>
        <v/>
      </c>
      <c r="F91" t="inlineStr">
        <is>
          <t>Redes sociales</t>
        </is>
      </c>
      <c r="G91">
        <f>IFERROR(INDEX($F$3:$F$10,MATCH(C91,$B$3:$B$10,0)),0)</f>
        <v/>
      </c>
      <c r="H91" t="n">
        <v>0</v>
      </c>
      <c r="I91" t="n">
        <v>0</v>
      </c>
      <c r="J91">
        <f>(D91*E91)-H91</f>
        <v/>
      </c>
      <c r="K91">
        <f>IFERROR(INDEX($K$3:$K$10,MATCH(C91,$B$3:$B$10,0))*D91,0)</f>
        <v/>
      </c>
      <c r="L91">
        <f>J91-K91-I91</f>
        <v/>
      </c>
    </row>
    <row r="92">
      <c r="B92" s="72" t="n">
        <v>46245</v>
      </c>
      <c r="C92" t="inlineStr">
        <is>
          <t>Jabón artesanal</t>
        </is>
      </c>
      <c r="D92" t="n">
        <v>2</v>
      </c>
      <c r="E92">
        <f>IFERROR(INDEX($D$3:$D$10,MATCH(C92,$B$3:$B$10,0)),0)</f>
        <v/>
      </c>
      <c r="F92" t="inlineStr">
        <is>
          <t>Feria</t>
        </is>
      </c>
      <c r="G92">
        <f>IFERROR(INDEX($F$3:$F$10,MATCH(C92,$B$3:$B$10,0)),0)</f>
        <v/>
      </c>
      <c r="H92" t="n">
        <v>200</v>
      </c>
      <c r="I92" t="n">
        <v>0</v>
      </c>
      <c r="J92">
        <f>(D92*E92)-H92</f>
        <v/>
      </c>
      <c r="K92">
        <f>IFERROR(INDEX($K$3:$K$10,MATCH(C92,$B$3:$B$10,0))*D92,0)</f>
        <v/>
      </c>
      <c r="L92">
        <f>J92-K92-I92</f>
        <v/>
      </c>
    </row>
    <row r="93">
      <c r="B93" s="72" t="n">
        <v>46245</v>
      </c>
      <c r="C93" t="inlineStr">
        <is>
          <t>Vela aromática grande</t>
        </is>
      </c>
      <c r="D93" t="n">
        <v>1</v>
      </c>
      <c r="E93">
        <f>IFERROR(INDEX($D$3:$D$10,MATCH(C93,$B$3:$B$10,0)),0)</f>
        <v/>
      </c>
      <c r="F93" t="inlineStr">
        <is>
          <t>Redes sociales</t>
        </is>
      </c>
      <c r="G93">
        <f>IFERROR(INDEX($F$3:$F$10,MATCH(C93,$B$3:$B$10,0)),0)</f>
        <v/>
      </c>
      <c r="H93" t="n">
        <v>200</v>
      </c>
      <c r="I93" t="n">
        <v>0</v>
      </c>
      <c r="J93">
        <f>(D93*E93)-H93</f>
        <v/>
      </c>
      <c r="K93">
        <f>IFERROR(INDEX($K$3:$K$10,MATCH(C93,$B$3:$B$10,0))*D93,0)</f>
        <v/>
      </c>
      <c r="L93">
        <f>J93-K93-I93</f>
        <v/>
      </c>
    </row>
    <row r="94">
      <c r="B94" s="72" t="n">
        <v>46246</v>
      </c>
      <c r="C94" t="inlineStr">
        <is>
          <t>Vela aromática chica</t>
        </is>
      </c>
      <c r="D94" t="n">
        <v>1</v>
      </c>
      <c r="E94">
        <f>IFERROR(INDEX($D$3:$D$10,MATCH(C94,$B$3:$B$10,0)),0)</f>
        <v/>
      </c>
      <c r="F94" t="inlineStr">
        <is>
          <t>Feria</t>
        </is>
      </c>
      <c r="G94">
        <f>IFERROR(INDEX($F$3:$F$10,MATCH(C94,$B$3:$B$10,0)),0)</f>
        <v/>
      </c>
      <c r="H94" t="n">
        <v>0</v>
      </c>
      <c r="I94" t="n">
        <v>0</v>
      </c>
      <c r="J94">
        <f>(D94*E94)-H94</f>
        <v/>
      </c>
      <c r="K94">
        <f>IFERROR(INDEX($K$3:$K$10,MATCH(C94,$B$3:$B$10,0))*D94,0)</f>
        <v/>
      </c>
      <c r="L94">
        <f>J94-K94-I94</f>
        <v/>
      </c>
    </row>
    <row r="95">
      <c r="B95" s="72" t="n">
        <v>46246</v>
      </c>
      <c r="C95" t="inlineStr">
        <is>
          <t>Sahumerio x12</t>
        </is>
      </c>
      <c r="D95" t="n">
        <v>1</v>
      </c>
      <c r="E95">
        <f>IFERROR(INDEX($D$3:$D$10,MATCH(C95,$B$3:$B$10,0)),0)</f>
        <v/>
      </c>
      <c r="F95" t="inlineStr">
        <is>
          <t>Redes sociales</t>
        </is>
      </c>
      <c r="G95">
        <f>IFERROR(INDEX($F$3:$F$10,MATCH(C95,$B$3:$B$10,0)),0)</f>
        <v/>
      </c>
      <c r="H95" t="n">
        <v>0</v>
      </c>
      <c r="I95" t="n">
        <v>0</v>
      </c>
      <c r="J95">
        <f>(D95*E95)-H95</f>
        <v/>
      </c>
      <c r="K95">
        <f>IFERROR(INDEX($K$3:$K$10,MATCH(C95,$B$3:$B$10,0))*D95,0)</f>
        <v/>
      </c>
      <c r="L95">
        <f>J95-K95-I95</f>
        <v/>
      </c>
    </row>
    <row r="96">
      <c r="B96" s="72" t="n">
        <v>46246</v>
      </c>
      <c r="C96" t="inlineStr">
        <is>
          <t>Vela aromática chica</t>
        </is>
      </c>
      <c r="D96" t="n">
        <v>2</v>
      </c>
      <c r="E96">
        <f>IFERROR(INDEX($D$3:$D$10,MATCH(C96,$B$3:$B$10,0)),0)</f>
        <v/>
      </c>
      <c r="F96" t="inlineStr">
        <is>
          <t>Redes sociales</t>
        </is>
      </c>
      <c r="G96">
        <f>IFERROR(INDEX($F$3:$F$10,MATCH(C96,$B$3:$B$10,0)),0)</f>
        <v/>
      </c>
      <c r="H96" t="n">
        <v>0</v>
      </c>
      <c r="I96" t="n">
        <v>0</v>
      </c>
      <c r="J96">
        <f>(D96*E96)-H96</f>
        <v/>
      </c>
      <c r="K96">
        <f>IFERROR(INDEX($K$3:$K$10,MATCH(C96,$B$3:$B$10,0))*D96,0)</f>
        <v/>
      </c>
      <c r="L96">
        <f>J96-K96-I96</f>
        <v/>
      </c>
    </row>
    <row r="97">
      <c r="B97" s="72" t="n">
        <v>46248</v>
      </c>
      <c r="C97" t="inlineStr">
        <is>
          <t>Vela aromática chica</t>
        </is>
      </c>
      <c r="D97" t="n">
        <v>1</v>
      </c>
      <c r="E97">
        <f>IFERROR(INDEX($D$3:$D$10,MATCH(C97,$B$3:$B$10,0)),0)</f>
        <v/>
      </c>
      <c r="F97" t="inlineStr">
        <is>
          <t>Mayorista</t>
        </is>
      </c>
      <c r="G97">
        <f>IFERROR(INDEX($F$3:$F$10,MATCH(C97,$B$3:$B$10,0)),0)</f>
        <v/>
      </c>
      <c r="H97" t="n">
        <v>0</v>
      </c>
      <c r="I97" t="n">
        <v>0</v>
      </c>
      <c r="J97">
        <f>(D97*E97)-H97</f>
        <v/>
      </c>
      <c r="K97">
        <f>IFERROR(INDEX($K$3:$K$10,MATCH(C97,$B$3:$B$10,0))*D97,0)</f>
        <v/>
      </c>
      <c r="L97">
        <f>J97-K97-I97</f>
        <v/>
      </c>
    </row>
    <row r="98">
      <c r="B98" s="72" t="n">
        <v>46249</v>
      </c>
      <c r="C98" t="inlineStr">
        <is>
          <t>Sahumerio x12</t>
        </is>
      </c>
      <c r="D98" t="n">
        <v>3</v>
      </c>
      <c r="E98">
        <f>IFERROR(INDEX($D$3:$D$10,MATCH(C98,$B$3:$B$10,0)),0)</f>
        <v/>
      </c>
      <c r="F98" t="inlineStr">
        <is>
          <t>Mayorista</t>
        </is>
      </c>
      <c r="G98">
        <f>IFERROR(INDEX($F$3:$F$10,MATCH(C98,$B$3:$B$10,0)),0)</f>
        <v/>
      </c>
      <c r="H98" t="n">
        <v>0</v>
      </c>
      <c r="I98" t="n">
        <v>0</v>
      </c>
      <c r="J98">
        <f>(D98*E98)-H98</f>
        <v/>
      </c>
      <c r="K98">
        <f>IFERROR(INDEX($K$3:$K$10,MATCH(C98,$B$3:$B$10,0))*D98,0)</f>
        <v/>
      </c>
      <c r="L98">
        <f>J98-K98-I98</f>
        <v/>
      </c>
    </row>
    <row r="99">
      <c r="B99" s="72" t="n">
        <v>46250</v>
      </c>
      <c r="C99" t="inlineStr">
        <is>
          <t>Crema corporal</t>
        </is>
      </c>
      <c r="D99" t="n">
        <v>2</v>
      </c>
      <c r="E99">
        <f>IFERROR(INDEX($D$3:$D$10,MATCH(C99,$B$3:$B$10,0)),0)</f>
        <v/>
      </c>
      <c r="F99" t="inlineStr">
        <is>
          <t>Online</t>
        </is>
      </c>
      <c r="G99">
        <f>IFERROR(INDEX($F$3:$F$10,MATCH(C99,$B$3:$B$10,0)),0)</f>
        <v/>
      </c>
      <c r="H99" t="n">
        <v>500</v>
      </c>
      <c r="I99" t="n">
        <v>0</v>
      </c>
      <c r="J99">
        <f>(D99*E99)-H99</f>
        <v/>
      </c>
      <c r="K99">
        <f>IFERROR(INDEX($K$3:$K$10,MATCH(C99,$B$3:$B$10,0))*D99,0)</f>
        <v/>
      </c>
      <c r="L99">
        <f>J99-K99-I99</f>
        <v/>
      </c>
    </row>
    <row r="100">
      <c r="B100" s="72" t="n">
        <v>46252</v>
      </c>
      <c r="C100" t="inlineStr">
        <is>
          <t>Crema corporal</t>
        </is>
      </c>
      <c r="D100" t="n">
        <v>1</v>
      </c>
      <c r="E100">
        <f>IFERROR(INDEX($D$3:$D$10,MATCH(C100,$B$3:$B$10,0)),0)</f>
        <v/>
      </c>
      <c r="F100" t="inlineStr">
        <is>
          <t>Online</t>
        </is>
      </c>
      <c r="G100">
        <f>IFERROR(INDEX($F$3:$F$10,MATCH(C100,$B$3:$B$10,0)),0)</f>
        <v/>
      </c>
      <c r="H100" t="n">
        <v>0</v>
      </c>
      <c r="I100" t="n">
        <v>0</v>
      </c>
      <c r="J100">
        <f>(D100*E100)-H100</f>
        <v/>
      </c>
      <c r="K100">
        <f>IFERROR(INDEX($K$3:$K$10,MATCH(C100,$B$3:$B$10,0))*D100,0)</f>
        <v/>
      </c>
      <c r="L100">
        <f>J100-K100-I100</f>
        <v/>
      </c>
    </row>
    <row r="101">
      <c r="B101" s="72" t="n">
        <v>46252</v>
      </c>
      <c r="C101" t="inlineStr">
        <is>
          <t>Set de regalo premium</t>
        </is>
      </c>
      <c r="D101" t="n">
        <v>2</v>
      </c>
      <c r="E101">
        <f>IFERROR(INDEX($D$3:$D$10,MATCH(C101,$B$3:$B$10,0)),0)</f>
        <v/>
      </c>
      <c r="F101" t="inlineStr">
        <is>
          <t>Redes sociales</t>
        </is>
      </c>
      <c r="G101">
        <f>IFERROR(INDEX($F$3:$F$10,MATCH(C101,$B$3:$B$10,0)),0)</f>
        <v/>
      </c>
      <c r="H101" t="n">
        <v>0</v>
      </c>
      <c r="I101" t="n">
        <v>0</v>
      </c>
      <c r="J101">
        <f>(D101*E101)-H101</f>
        <v/>
      </c>
      <c r="K101">
        <f>IFERROR(INDEX($K$3:$K$10,MATCH(C101,$B$3:$B$10,0))*D101,0)</f>
        <v/>
      </c>
      <c r="L101">
        <f>J101-K101-I101</f>
        <v/>
      </c>
    </row>
    <row r="102">
      <c r="B102" s="72" t="n">
        <v>46253</v>
      </c>
      <c r="C102" t="inlineStr">
        <is>
          <t>Vela aromática grande</t>
        </is>
      </c>
      <c r="D102" t="n">
        <v>1</v>
      </c>
      <c r="E102">
        <f>IFERROR(INDEX($D$3:$D$10,MATCH(C102,$B$3:$B$10,0)),0)</f>
        <v/>
      </c>
      <c r="F102" t="inlineStr">
        <is>
          <t>Local</t>
        </is>
      </c>
      <c r="G102">
        <f>IFERROR(INDEX($F$3:$F$10,MATCH(C102,$B$3:$B$10,0)),0)</f>
        <v/>
      </c>
      <c r="H102" t="n">
        <v>500</v>
      </c>
      <c r="I102" t="n">
        <v>0</v>
      </c>
      <c r="J102">
        <f>(D102*E102)-H102</f>
        <v/>
      </c>
      <c r="K102">
        <f>IFERROR(INDEX($K$3:$K$10,MATCH(C102,$B$3:$B$10,0))*D102,0)</f>
        <v/>
      </c>
      <c r="L102">
        <f>J102-K102-I102</f>
        <v/>
      </c>
    </row>
    <row r="103">
      <c r="B103" s="72" t="n">
        <v>46253</v>
      </c>
      <c r="C103" t="inlineStr">
        <is>
          <t>Vela aromática chica</t>
        </is>
      </c>
      <c r="D103" t="n">
        <v>1</v>
      </c>
      <c r="E103">
        <f>IFERROR(INDEX($D$3:$D$10,MATCH(C103,$B$3:$B$10,0)),0)</f>
        <v/>
      </c>
      <c r="F103" t="inlineStr">
        <is>
          <t>Feria</t>
        </is>
      </c>
      <c r="G103">
        <f>IFERROR(INDEX($F$3:$F$10,MATCH(C103,$B$3:$B$10,0)),0)</f>
        <v/>
      </c>
      <c r="H103" t="n">
        <v>0</v>
      </c>
      <c r="I103" t="n">
        <v>0</v>
      </c>
      <c r="J103">
        <f>(D103*E103)-H103</f>
        <v/>
      </c>
      <c r="K103">
        <f>IFERROR(INDEX($K$3:$K$10,MATCH(C103,$B$3:$B$10,0))*D103,0)</f>
        <v/>
      </c>
      <c r="L103">
        <f>J103-K103-I103</f>
        <v/>
      </c>
    </row>
    <row r="104">
      <c r="B104" s="72" t="n">
        <v>46254</v>
      </c>
      <c r="C104" t="inlineStr">
        <is>
          <t>Set de regalo premium</t>
        </is>
      </c>
      <c r="D104" t="n">
        <v>2</v>
      </c>
      <c r="E104">
        <f>IFERROR(INDEX($D$3:$D$10,MATCH(C104,$B$3:$B$10,0)),0)</f>
        <v/>
      </c>
      <c r="F104" t="inlineStr">
        <is>
          <t>Mayorista</t>
        </is>
      </c>
      <c r="G104">
        <f>IFERROR(INDEX($F$3:$F$10,MATCH(C104,$B$3:$B$10,0)),0)</f>
        <v/>
      </c>
      <c r="H104" t="n">
        <v>200</v>
      </c>
      <c r="I104" t="n">
        <v>0</v>
      </c>
      <c r="J104">
        <f>(D104*E104)-H104</f>
        <v/>
      </c>
      <c r="K104">
        <f>IFERROR(INDEX($K$3:$K$10,MATCH(C104,$B$3:$B$10,0))*D104,0)</f>
        <v/>
      </c>
      <c r="L104">
        <f>J104-K104-I104</f>
        <v/>
      </c>
    </row>
    <row r="105">
      <c r="B105" s="72" t="n">
        <v>46254</v>
      </c>
      <c r="C105" t="inlineStr">
        <is>
          <t>Jabón artesanal</t>
        </is>
      </c>
      <c r="D105" t="n">
        <v>2</v>
      </c>
      <c r="E105">
        <f>IFERROR(INDEX($D$3:$D$10,MATCH(C105,$B$3:$B$10,0)),0)</f>
        <v/>
      </c>
      <c r="F105" t="inlineStr">
        <is>
          <t>Local</t>
        </is>
      </c>
      <c r="G105">
        <f>IFERROR(INDEX($F$3:$F$10,MATCH(C105,$B$3:$B$10,0)),0)</f>
        <v/>
      </c>
      <c r="H105" t="n">
        <v>0</v>
      </c>
      <c r="I105" t="n">
        <v>0</v>
      </c>
      <c r="J105">
        <f>(D105*E105)-H105</f>
        <v/>
      </c>
      <c r="K105">
        <f>IFERROR(INDEX($K$3:$K$10,MATCH(C105,$B$3:$B$10,0))*D105,0)</f>
        <v/>
      </c>
      <c r="L105">
        <f>J105-K105-I105</f>
        <v/>
      </c>
    </row>
    <row r="106">
      <c r="B106" s="72" t="n">
        <v>46254</v>
      </c>
      <c r="C106" t="inlineStr">
        <is>
          <t>Kit spa en casa</t>
        </is>
      </c>
      <c r="D106" t="n">
        <v>1</v>
      </c>
      <c r="E106">
        <f>IFERROR(INDEX($D$3:$D$10,MATCH(C106,$B$3:$B$10,0)),0)</f>
        <v/>
      </c>
      <c r="F106" t="inlineStr">
        <is>
          <t>Local</t>
        </is>
      </c>
      <c r="G106">
        <f>IFERROR(INDEX($F$3:$F$10,MATCH(C106,$B$3:$B$10,0)),0)</f>
        <v/>
      </c>
      <c r="H106" t="n">
        <v>0</v>
      </c>
      <c r="I106" t="n">
        <v>0</v>
      </c>
      <c r="J106">
        <f>(D106*E106)-H106</f>
        <v/>
      </c>
      <c r="K106">
        <f>IFERROR(INDEX($K$3:$K$10,MATCH(C106,$B$3:$B$10,0))*D106,0)</f>
        <v/>
      </c>
      <c r="L106">
        <f>J106-K106-I106</f>
        <v/>
      </c>
    </row>
    <row r="107">
      <c r="B107" s="72" t="n">
        <v>46255</v>
      </c>
      <c r="C107" t="inlineStr">
        <is>
          <t>Vela aromática grande</t>
        </is>
      </c>
      <c r="D107" t="n">
        <v>1</v>
      </c>
      <c r="E107">
        <f>IFERROR(INDEX($D$3:$D$10,MATCH(C107,$B$3:$B$10,0)),0)</f>
        <v/>
      </c>
      <c r="F107" t="inlineStr">
        <is>
          <t>Mayorista</t>
        </is>
      </c>
      <c r="G107">
        <f>IFERROR(INDEX($F$3:$F$10,MATCH(C107,$B$3:$B$10,0)),0)</f>
        <v/>
      </c>
      <c r="H107" t="n">
        <v>0</v>
      </c>
      <c r="I107" t="n">
        <v>0</v>
      </c>
      <c r="J107">
        <f>(D107*E107)-H107</f>
        <v/>
      </c>
      <c r="K107">
        <f>IFERROR(INDEX($K$3:$K$10,MATCH(C107,$B$3:$B$10,0))*D107,0)</f>
        <v/>
      </c>
      <c r="L107">
        <f>J107-K107-I107</f>
        <v/>
      </c>
    </row>
    <row r="108">
      <c r="B108" s="72" t="n">
        <v>46256</v>
      </c>
      <c r="C108" t="inlineStr">
        <is>
          <t>Difusor de aromas</t>
        </is>
      </c>
      <c r="D108" t="n">
        <v>3</v>
      </c>
      <c r="E108">
        <f>IFERROR(INDEX($D$3:$D$10,MATCH(C108,$B$3:$B$10,0)),0)</f>
        <v/>
      </c>
      <c r="F108" t="inlineStr">
        <is>
          <t>Mayorista</t>
        </is>
      </c>
      <c r="G108">
        <f>IFERROR(INDEX($F$3:$F$10,MATCH(C108,$B$3:$B$10,0)),0)</f>
        <v/>
      </c>
      <c r="H108" t="n">
        <v>0</v>
      </c>
      <c r="I108" t="n">
        <v>0</v>
      </c>
      <c r="J108">
        <f>(D108*E108)-H108</f>
        <v/>
      </c>
      <c r="K108">
        <f>IFERROR(INDEX($K$3:$K$10,MATCH(C108,$B$3:$B$10,0))*D108,0)</f>
        <v/>
      </c>
      <c r="L108">
        <f>J108-K108-I108</f>
        <v/>
      </c>
    </row>
    <row r="109">
      <c r="B109" s="72" t="n">
        <v>46256</v>
      </c>
      <c r="C109" t="inlineStr">
        <is>
          <t>Vela aromática grande</t>
        </is>
      </c>
      <c r="D109" t="n">
        <v>2</v>
      </c>
      <c r="E109">
        <f>IFERROR(INDEX($D$3:$D$10,MATCH(C109,$B$3:$B$10,0)),0)</f>
        <v/>
      </c>
      <c r="F109" t="inlineStr">
        <is>
          <t>Feria</t>
        </is>
      </c>
      <c r="G109">
        <f>IFERROR(INDEX($F$3:$F$10,MATCH(C109,$B$3:$B$10,0)),0)</f>
        <v/>
      </c>
      <c r="H109" t="n">
        <v>0</v>
      </c>
      <c r="I109" t="n">
        <v>0</v>
      </c>
      <c r="J109">
        <f>(D109*E109)-H109</f>
        <v/>
      </c>
      <c r="K109">
        <f>IFERROR(INDEX($K$3:$K$10,MATCH(C109,$B$3:$B$10,0))*D109,0)</f>
        <v/>
      </c>
      <c r="L109">
        <f>J109-K109-I109</f>
        <v/>
      </c>
    </row>
    <row r="110">
      <c r="B110" s="72" t="n">
        <v>46257</v>
      </c>
      <c r="C110" t="inlineStr">
        <is>
          <t>Vela aromática grande</t>
        </is>
      </c>
      <c r="D110" t="n">
        <v>1</v>
      </c>
      <c r="E110">
        <f>IFERROR(INDEX($D$3:$D$10,MATCH(C110,$B$3:$B$10,0)),0)</f>
        <v/>
      </c>
      <c r="F110" t="inlineStr">
        <is>
          <t>Online</t>
        </is>
      </c>
      <c r="G110">
        <f>IFERROR(INDEX($F$3:$F$10,MATCH(C110,$B$3:$B$10,0)),0)</f>
        <v/>
      </c>
      <c r="H110" t="n">
        <v>0</v>
      </c>
      <c r="I110" t="n">
        <v>0</v>
      </c>
      <c r="J110">
        <f>(D110*E110)-H110</f>
        <v/>
      </c>
      <c r="K110">
        <f>IFERROR(INDEX($K$3:$K$10,MATCH(C110,$B$3:$B$10,0))*D110,0)</f>
        <v/>
      </c>
      <c r="L110">
        <f>J110-K110-I110</f>
        <v/>
      </c>
    </row>
    <row r="111">
      <c r="B111" s="72" t="n">
        <v>46257</v>
      </c>
      <c r="C111" t="inlineStr">
        <is>
          <t>Crema corporal</t>
        </is>
      </c>
      <c r="D111" t="n">
        <v>1</v>
      </c>
      <c r="E111">
        <f>IFERROR(INDEX($D$3:$D$10,MATCH(C111,$B$3:$B$10,0)),0)</f>
        <v/>
      </c>
      <c r="F111" t="inlineStr">
        <is>
          <t>Local</t>
        </is>
      </c>
      <c r="G111">
        <f>IFERROR(INDEX($F$3:$F$10,MATCH(C111,$B$3:$B$10,0)),0)</f>
        <v/>
      </c>
      <c r="H111" t="n">
        <v>500</v>
      </c>
      <c r="I111" t="n">
        <v>0</v>
      </c>
      <c r="J111">
        <f>(D111*E111)-H111</f>
        <v/>
      </c>
      <c r="K111">
        <f>IFERROR(INDEX($K$3:$K$10,MATCH(C111,$B$3:$B$10,0))*D111,0)</f>
        <v/>
      </c>
      <c r="L111">
        <f>J111-K111-I111</f>
        <v/>
      </c>
    </row>
    <row r="112">
      <c r="B112" s="72" t="n">
        <v>46259</v>
      </c>
      <c r="C112" t="inlineStr">
        <is>
          <t>Vela aromática grande</t>
        </is>
      </c>
      <c r="D112" t="n">
        <v>1</v>
      </c>
      <c r="E112">
        <f>IFERROR(INDEX($D$3:$D$10,MATCH(C112,$B$3:$B$10,0)),0)</f>
        <v/>
      </c>
      <c r="F112" t="inlineStr">
        <is>
          <t>Local</t>
        </is>
      </c>
      <c r="G112">
        <f>IFERROR(INDEX($F$3:$F$10,MATCH(C112,$B$3:$B$10,0)),0)</f>
        <v/>
      </c>
      <c r="H112" t="n">
        <v>0</v>
      </c>
      <c r="I112" t="n">
        <v>0</v>
      </c>
      <c r="J112">
        <f>(D112*E112)-H112</f>
        <v/>
      </c>
      <c r="K112">
        <f>IFERROR(INDEX($K$3:$K$10,MATCH(C112,$B$3:$B$10,0))*D112,0)</f>
        <v/>
      </c>
      <c r="L112">
        <f>J112-K112-I112</f>
        <v/>
      </c>
    </row>
    <row r="113">
      <c r="B113" s="72" t="n">
        <v>46261</v>
      </c>
      <c r="C113" t="inlineStr">
        <is>
          <t>Vela aromática grande</t>
        </is>
      </c>
      <c r="D113" t="n">
        <v>2</v>
      </c>
      <c r="E113">
        <f>IFERROR(INDEX($D$3:$D$10,MATCH(C113,$B$3:$B$10,0)),0)</f>
        <v/>
      </c>
      <c r="F113" t="inlineStr">
        <is>
          <t>Redes sociales</t>
        </is>
      </c>
      <c r="G113">
        <f>IFERROR(INDEX($F$3:$F$10,MATCH(C113,$B$3:$B$10,0)),0)</f>
        <v/>
      </c>
      <c r="H113" t="n">
        <v>0</v>
      </c>
      <c r="I113" t="n">
        <v>0</v>
      </c>
      <c r="J113">
        <f>(D113*E113)-H113</f>
        <v/>
      </c>
      <c r="K113">
        <f>IFERROR(INDEX($K$3:$K$10,MATCH(C113,$B$3:$B$10,0))*D113,0)</f>
        <v/>
      </c>
      <c r="L113">
        <f>J113-K113-I113</f>
        <v/>
      </c>
    </row>
    <row r="114">
      <c r="B114" s="72" t="n">
        <v>46261</v>
      </c>
      <c r="C114" t="inlineStr">
        <is>
          <t>Jabón artesanal</t>
        </is>
      </c>
      <c r="D114" t="n">
        <v>1</v>
      </c>
      <c r="E114">
        <f>IFERROR(INDEX($D$3:$D$10,MATCH(C114,$B$3:$B$10,0)),0)</f>
        <v/>
      </c>
      <c r="F114" t="inlineStr">
        <is>
          <t>Feria</t>
        </is>
      </c>
      <c r="G114">
        <f>IFERROR(INDEX($F$3:$F$10,MATCH(C114,$B$3:$B$10,0)),0)</f>
        <v/>
      </c>
      <c r="H114" t="n">
        <v>500</v>
      </c>
      <c r="I114" t="n">
        <v>0</v>
      </c>
      <c r="J114">
        <f>(D114*E114)-H114</f>
        <v/>
      </c>
      <c r="K114">
        <f>IFERROR(INDEX($K$3:$K$10,MATCH(C114,$B$3:$B$10,0))*D114,0)</f>
        <v/>
      </c>
      <c r="L114">
        <f>J114-K114-I114</f>
        <v/>
      </c>
    </row>
    <row r="115">
      <c r="A115" t="inlineStr">
        <is>
          <t>Demo · Ganancia por producto (top 8)</t>
        </is>
      </c>
      <c r="B115" s="72" t="n">
        <v>46261</v>
      </c>
      <c r="C115" t="inlineStr">
        <is>
          <t>Vela aromática grande</t>
        </is>
      </c>
      <c r="D115" t="n">
        <v>1</v>
      </c>
      <c r="E115">
        <f>IFERROR(INDEX($D$3:$D$10,MATCH(C115,$B$3:$B$10,0)),0)</f>
        <v/>
      </c>
      <c r="F115" t="inlineStr">
        <is>
          <t>Online</t>
        </is>
      </c>
      <c r="G115">
        <f>IFERROR(INDEX($F$3:$F$10,MATCH(C115,$B$3:$B$10,0)),0)</f>
        <v/>
      </c>
      <c r="H115" t="n">
        <v>0</v>
      </c>
      <c r="I115" t="n">
        <v>0</v>
      </c>
      <c r="J115">
        <f>(D115*E115)-H115</f>
        <v/>
      </c>
      <c r="K115">
        <f>IFERROR(INDEX($K$3:$K$10,MATCH(C115,$B$3:$B$10,0))*D115,0)</f>
        <v/>
      </c>
      <c r="L115">
        <f>J115-K115-I115</f>
        <v/>
      </c>
    </row>
    <row r="116">
      <c r="A116">
        <f>IFERROR(INDEX($B$3:$B$10,MATCH(B116,$O$3:$O$10,0)),"")</f>
        <v/>
      </c>
      <c r="B116" s="71">
        <f>IFERROR(LARGE($O$3:$O$10,1),"")</f>
        <v/>
      </c>
      <c r="C116" t="inlineStr">
        <is>
          <t>Vela aromática grande</t>
        </is>
      </c>
      <c r="D116" t="n">
        <v>1</v>
      </c>
      <c r="E116">
        <f>IFERROR(INDEX($D$3:$D$10,MATCH(C116,$B$3:$B$10,0)),0)</f>
        <v/>
      </c>
      <c r="F116" t="inlineStr">
        <is>
          <t>Mayorista</t>
        </is>
      </c>
      <c r="G116">
        <f>IFERROR(INDEX($F$3:$F$10,MATCH(C116,$B$3:$B$10,0)),0)</f>
        <v/>
      </c>
      <c r="H116" t="n">
        <v>200</v>
      </c>
      <c r="I116" t="n">
        <v>0</v>
      </c>
      <c r="J116">
        <f>(D116*E116)-H116</f>
        <v/>
      </c>
      <c r="K116">
        <f>IFERROR(INDEX($K$3:$K$10,MATCH(C116,$B$3:$B$10,0))*D116,0)</f>
        <v/>
      </c>
      <c r="L116">
        <f>J116-K116-I116</f>
        <v/>
      </c>
    </row>
    <row r="117">
      <c r="A117">
        <f>IFERROR(INDEX($B$3:$B$10,MATCH(B117,$O$3:$O$10,0)),"")</f>
        <v/>
      </c>
      <c r="B117" s="71">
        <f>IFERROR(LARGE($O$3:$O$10,2),"")</f>
        <v/>
      </c>
      <c r="C117" t="inlineStr">
        <is>
          <t>Vela aromática grande</t>
        </is>
      </c>
      <c r="D117" t="n">
        <v>2</v>
      </c>
      <c r="E117">
        <f>IFERROR(INDEX($D$3:$D$10,MATCH(C117,$B$3:$B$10,0)),0)</f>
        <v/>
      </c>
      <c r="F117" t="inlineStr">
        <is>
          <t>Online</t>
        </is>
      </c>
      <c r="G117">
        <f>IFERROR(INDEX($F$3:$F$10,MATCH(C117,$B$3:$B$10,0)),0)</f>
        <v/>
      </c>
      <c r="H117" t="n">
        <v>0</v>
      </c>
      <c r="I117" t="n">
        <v>0</v>
      </c>
      <c r="J117">
        <f>(D117*E117)-H117</f>
        <v/>
      </c>
      <c r="K117">
        <f>IFERROR(INDEX($K$3:$K$10,MATCH(C117,$B$3:$B$10,0))*D117,0)</f>
        <v/>
      </c>
      <c r="L117">
        <f>J117-K117-I117</f>
        <v/>
      </c>
    </row>
    <row r="118">
      <c r="A118">
        <f>IFERROR(INDEX($B$3:$B$10,MATCH(B118,$O$3:$O$10,0)),"")</f>
        <v/>
      </c>
      <c r="B118" s="71">
        <f>IFERROR(LARGE($O$3:$O$10,3),"")</f>
        <v/>
      </c>
      <c r="C118" t="inlineStr">
        <is>
          <t>Difusor de aromas</t>
        </is>
      </c>
      <c r="D118" t="n">
        <v>1</v>
      </c>
      <c r="E118">
        <f>IFERROR(INDEX($D$3:$D$10,MATCH(C118,$B$3:$B$10,0)),0)</f>
        <v/>
      </c>
      <c r="F118" t="inlineStr">
        <is>
          <t>Local</t>
        </is>
      </c>
      <c r="G118">
        <f>IFERROR(INDEX($F$3:$F$10,MATCH(C118,$B$3:$B$10,0)),0)</f>
        <v/>
      </c>
      <c r="H118" t="n">
        <v>0</v>
      </c>
      <c r="I118" t="n">
        <v>0</v>
      </c>
      <c r="J118">
        <f>(D118*E118)-H118</f>
        <v/>
      </c>
      <c r="K118">
        <f>IFERROR(INDEX($K$3:$K$10,MATCH(C118,$B$3:$B$10,0))*D118,0)</f>
        <v/>
      </c>
      <c r="L118">
        <f>J118-K118-I118</f>
        <v/>
      </c>
    </row>
    <row r="119">
      <c r="A119">
        <f>IFERROR(INDEX($B$3:$B$10,MATCH(B119,$O$3:$O$10,0)),"")</f>
        <v/>
      </c>
      <c r="B119" s="71">
        <f>IFERROR(LARGE($O$3:$O$10,4),"")</f>
        <v/>
      </c>
      <c r="C119" t="inlineStr">
        <is>
          <t>Vela aromática grande</t>
        </is>
      </c>
      <c r="D119" t="n">
        <v>2</v>
      </c>
      <c r="E119">
        <f>IFERROR(INDEX($D$3:$D$10,MATCH(C119,$B$3:$B$10,0)),0)</f>
        <v/>
      </c>
      <c r="F119" t="inlineStr">
        <is>
          <t>Feria</t>
        </is>
      </c>
      <c r="G119">
        <f>IFERROR(INDEX($F$3:$F$10,MATCH(C119,$B$3:$B$10,0)),0)</f>
        <v/>
      </c>
      <c r="H119" t="n">
        <v>0</v>
      </c>
      <c r="I119" t="n">
        <v>0</v>
      </c>
      <c r="J119">
        <f>(D119*E119)-H119</f>
        <v/>
      </c>
      <c r="K119">
        <f>IFERROR(INDEX($K$3:$K$10,MATCH(C119,$B$3:$B$10,0))*D119,0)</f>
        <v/>
      </c>
      <c r="L119">
        <f>J119-K119-I119</f>
        <v/>
      </c>
    </row>
    <row r="120">
      <c r="A120">
        <f>IFERROR(INDEX($B$3:$B$10,MATCH(B120,$O$3:$O$10,0)),"")</f>
        <v/>
      </c>
      <c r="B120" s="71">
        <f>IFERROR(LARGE($O$3:$O$10,5),"")</f>
        <v/>
      </c>
      <c r="C120" t="inlineStr">
        <is>
          <t>Vela aromática grande</t>
        </is>
      </c>
      <c r="D120" t="n">
        <v>2</v>
      </c>
      <c r="E120">
        <f>IFERROR(INDEX($D$3:$D$10,MATCH(C120,$B$3:$B$10,0)),0)</f>
        <v/>
      </c>
      <c r="F120" t="inlineStr">
        <is>
          <t>Local</t>
        </is>
      </c>
      <c r="G120">
        <f>IFERROR(INDEX($F$3:$F$10,MATCH(C120,$B$3:$B$10,0)),0)</f>
        <v/>
      </c>
      <c r="H120" t="n">
        <v>500</v>
      </c>
      <c r="I120" t="n">
        <v>0</v>
      </c>
      <c r="J120">
        <f>(D120*E120)-H120</f>
        <v/>
      </c>
      <c r="K120">
        <f>IFERROR(INDEX($K$3:$K$10,MATCH(C120,$B$3:$B$10,0))*D120,0)</f>
        <v/>
      </c>
      <c r="L120">
        <f>J120-K120-I120</f>
        <v/>
      </c>
    </row>
    <row r="121">
      <c r="A121">
        <f>IFERROR(INDEX($B$3:$B$10,MATCH(B121,$O$3:$O$10,0)),"")</f>
        <v/>
      </c>
      <c r="B121" s="71">
        <f>IFERROR(LARGE($O$3:$O$10,6),"")</f>
        <v/>
      </c>
      <c r="C121" t="inlineStr">
        <is>
          <t>Difusor de aromas</t>
        </is>
      </c>
      <c r="D121" t="n">
        <v>2</v>
      </c>
      <c r="E121">
        <f>IFERROR(INDEX($D$3:$D$10,MATCH(C121,$B$3:$B$10,0)),0)</f>
        <v/>
      </c>
      <c r="F121" t="inlineStr">
        <is>
          <t>Redes sociales</t>
        </is>
      </c>
      <c r="G121">
        <f>IFERROR(INDEX($F$3:$F$10,MATCH(C121,$B$3:$B$10,0)),0)</f>
        <v/>
      </c>
      <c r="H121" t="n">
        <v>200</v>
      </c>
      <c r="I121" t="n">
        <v>0</v>
      </c>
      <c r="J121">
        <f>(D121*E121)-H121</f>
        <v/>
      </c>
      <c r="K121">
        <f>IFERROR(INDEX($K$3:$K$10,MATCH(C121,$B$3:$B$10,0))*D121,0)</f>
        <v/>
      </c>
      <c r="L121">
        <f>J121-K121-I121</f>
        <v/>
      </c>
    </row>
    <row r="122">
      <c r="A122">
        <f>IFERROR(INDEX($B$3:$B$10,MATCH(B122,$O$3:$O$10,0)),"")</f>
        <v/>
      </c>
      <c r="B122" s="71">
        <f>IFERROR(LARGE($O$3:$O$10,7),"")</f>
        <v/>
      </c>
      <c r="C122" t="inlineStr">
        <is>
          <t>Difusor de aromas</t>
        </is>
      </c>
      <c r="D122" t="n">
        <v>2</v>
      </c>
      <c r="E122">
        <f>IFERROR(INDEX($D$3:$D$10,MATCH(C122,$B$3:$B$10,0)),0)</f>
        <v/>
      </c>
      <c r="F122" t="inlineStr">
        <is>
          <t>Feria</t>
        </is>
      </c>
      <c r="G122">
        <f>IFERROR(INDEX($F$3:$F$10,MATCH(C122,$B$3:$B$10,0)),0)</f>
        <v/>
      </c>
      <c r="H122" t="n">
        <v>0</v>
      </c>
      <c r="I122" t="n">
        <v>0</v>
      </c>
      <c r="J122">
        <f>(D122*E122)-H122</f>
        <v/>
      </c>
      <c r="K122">
        <f>IFERROR(INDEX($K$3:$K$10,MATCH(C122,$B$3:$B$10,0))*D122,0)</f>
        <v/>
      </c>
      <c r="L122">
        <f>J122-K122-I122</f>
        <v/>
      </c>
    </row>
    <row r="123">
      <c r="A123">
        <f>IFERROR(INDEX($B$3:$B$10,MATCH(B123,$O$3:$O$10,0)),"")</f>
        <v/>
      </c>
      <c r="B123" s="71">
        <f>IFERROR(LARGE($O$3:$O$10,8),"")</f>
        <v/>
      </c>
      <c r="C123" t="inlineStr">
        <is>
          <t>Kit spa en casa</t>
        </is>
      </c>
      <c r="D123" t="n">
        <v>1</v>
      </c>
      <c r="E123">
        <f>IFERROR(INDEX($D$3:$D$10,MATCH(C123,$B$3:$B$10,0)),0)</f>
        <v/>
      </c>
      <c r="F123" t="inlineStr">
        <is>
          <t>Online</t>
        </is>
      </c>
      <c r="G123">
        <f>IFERROR(INDEX($F$3:$F$10,MATCH(C123,$B$3:$B$10,0)),0)</f>
        <v/>
      </c>
      <c r="H123" t="n">
        <v>500</v>
      </c>
      <c r="I123" t="n">
        <v>0</v>
      </c>
      <c r="J123">
        <f>(D123*E123)-H123</f>
        <v/>
      </c>
      <c r="K123">
        <f>IFERROR(INDEX($K$3:$K$10,MATCH(C123,$B$3:$B$10,0))*D123,0)</f>
        <v/>
      </c>
      <c r="L123">
        <f>J123-K123-I123</f>
        <v/>
      </c>
    </row>
    <row r="124">
      <c r="B124" s="72" t="n">
        <v>46268</v>
      </c>
      <c r="C124" t="inlineStr">
        <is>
          <t>Vela aromática chica</t>
        </is>
      </c>
      <c r="D124" t="n">
        <v>1</v>
      </c>
      <c r="E124">
        <f>IFERROR(INDEX($D$3:$D$10,MATCH(C124,$B$3:$B$10,0)),0)</f>
        <v/>
      </c>
      <c r="F124" t="inlineStr">
        <is>
          <t>Local</t>
        </is>
      </c>
      <c r="G124">
        <f>IFERROR(INDEX($F$3:$F$10,MATCH(C124,$B$3:$B$10,0)),0)</f>
        <v/>
      </c>
      <c r="H124" t="n">
        <v>0</v>
      </c>
      <c r="I124" t="n">
        <v>0</v>
      </c>
      <c r="J124">
        <f>(D124*E124)-H124</f>
        <v/>
      </c>
      <c r="K124">
        <f>IFERROR(INDEX($K$3:$K$10,MATCH(C124,$B$3:$B$10,0))*D124,0)</f>
        <v/>
      </c>
      <c r="L124">
        <f>J124-K124-I124</f>
        <v/>
      </c>
    </row>
    <row r="125">
      <c r="B125" s="72" t="n">
        <v>46271</v>
      </c>
      <c r="C125" t="inlineStr">
        <is>
          <t>Vela aromática chica</t>
        </is>
      </c>
      <c r="D125" t="n">
        <v>1</v>
      </c>
      <c r="E125">
        <f>IFERROR(INDEX($D$3:$D$10,MATCH(C125,$B$3:$B$10,0)),0)</f>
        <v/>
      </c>
      <c r="F125" t="inlineStr">
        <is>
          <t>Local</t>
        </is>
      </c>
      <c r="G125">
        <f>IFERROR(INDEX($F$3:$F$10,MATCH(C125,$B$3:$B$10,0)),0)</f>
        <v/>
      </c>
      <c r="H125" t="n">
        <v>500</v>
      </c>
      <c r="I125" t="n">
        <v>0</v>
      </c>
      <c r="J125">
        <f>(D125*E125)-H125</f>
        <v/>
      </c>
      <c r="K125">
        <f>IFERROR(INDEX($K$3:$K$10,MATCH(C125,$B$3:$B$10,0))*D125,0)</f>
        <v/>
      </c>
      <c r="L125">
        <f>J125-K125-I125</f>
        <v/>
      </c>
    </row>
    <row r="126">
      <c r="A126" t="inlineStr">
        <is>
          <t>Demo · Tendencia (6 meses)</t>
        </is>
      </c>
      <c r="B126" s="72" t="n">
        <v>46272</v>
      </c>
      <c r="C126" t="inlineStr">
        <is>
          <t>Crema corporal</t>
        </is>
      </c>
      <c r="D126" t="n">
        <v>3</v>
      </c>
      <c r="E126">
        <f>IFERROR(INDEX($D$3:$D$10,MATCH(C126,$B$3:$B$10,0)),0)</f>
        <v/>
      </c>
      <c r="F126" t="inlineStr">
        <is>
          <t>Mayorista</t>
        </is>
      </c>
      <c r="G126">
        <f>IFERROR(INDEX($F$3:$F$10,MATCH(C126,$B$3:$B$10,0)),0)</f>
        <v/>
      </c>
      <c r="H126" t="n">
        <v>200</v>
      </c>
      <c r="I126" t="n">
        <v>0</v>
      </c>
      <c r="J126">
        <f>(D126*E126)-H126</f>
        <v/>
      </c>
      <c r="K126">
        <f>IFERROR(INDEX($K$3:$K$10,MATCH(C126,$B$3:$B$10,0))*D126,0)</f>
        <v/>
      </c>
      <c r="L126">
        <f>J126-K126-I126</f>
        <v/>
      </c>
    </row>
    <row r="127">
      <c r="A127">
        <f>TEXT(EDATE(TODAY(),-5),"MMM")</f>
        <v/>
      </c>
      <c r="B127" s="71">
        <f>SUMIFS($J$22:$J$132,$B$22:$B$132,"&gt;="&amp;EOMONTH(TODAY(),-5-1)+1,$B$22:$B$132,"&lt;="&amp;EOMONTH(TODAY(),-5))</f>
        <v/>
      </c>
      <c r="C127" s="71">
        <f>SUMIFS($L$22:$L$132,$B$22:$B$132,"&gt;="&amp;EOMONTH(TODAY(),-5-1)+1,$B$22:$B$132,"&lt;="&amp;EOMONTH(TODAY(),-5))</f>
        <v/>
      </c>
      <c r="D127" t="n">
        <v>1</v>
      </c>
      <c r="E127">
        <f>IFERROR(INDEX($D$3:$D$10,MATCH(C127,$B$3:$B$10,0)),0)</f>
        <v/>
      </c>
      <c r="F127" t="inlineStr">
        <is>
          <t>Local</t>
        </is>
      </c>
      <c r="G127">
        <f>IFERROR(INDEX($F$3:$F$10,MATCH(C127,$B$3:$B$10,0)),0)</f>
        <v/>
      </c>
      <c r="H127" t="n">
        <v>0</v>
      </c>
      <c r="I127" t="n">
        <v>0</v>
      </c>
      <c r="J127">
        <f>(D127*E127)-H127</f>
        <v/>
      </c>
      <c r="K127">
        <f>IFERROR(INDEX($K$3:$K$10,MATCH(C127,$B$3:$B$10,0))*D127,0)</f>
        <v/>
      </c>
      <c r="L127">
        <f>J127-K127-I127</f>
        <v/>
      </c>
    </row>
    <row r="128">
      <c r="A128">
        <f>TEXT(EDATE(TODAY(),-4),"MMM")</f>
        <v/>
      </c>
      <c r="B128" s="71">
        <f>SUMIFS($J$22:$J$132,$B$22:$B$132,"&gt;="&amp;EOMONTH(TODAY(),-4-1)+1,$B$22:$B$132,"&lt;="&amp;EOMONTH(TODAY(),-4))</f>
        <v/>
      </c>
      <c r="C128" s="71">
        <f>SUMIFS($L$22:$L$132,$B$22:$B$132,"&gt;="&amp;EOMONTH(TODAY(),-4-1)+1,$B$22:$B$132,"&lt;="&amp;EOMONTH(TODAY(),-4))</f>
        <v/>
      </c>
      <c r="D128" t="n">
        <v>2</v>
      </c>
      <c r="E128">
        <f>IFERROR(INDEX($D$3:$D$10,MATCH(C128,$B$3:$B$10,0)),0)</f>
        <v/>
      </c>
      <c r="F128" t="inlineStr">
        <is>
          <t>Local</t>
        </is>
      </c>
      <c r="G128">
        <f>IFERROR(INDEX($F$3:$F$10,MATCH(C128,$B$3:$B$10,0)),0)</f>
        <v/>
      </c>
      <c r="H128" t="n">
        <v>0</v>
      </c>
      <c r="I128" t="n">
        <v>0</v>
      </c>
      <c r="J128">
        <f>(D128*E128)-H128</f>
        <v/>
      </c>
      <c r="K128">
        <f>IFERROR(INDEX($K$3:$K$10,MATCH(C128,$B$3:$B$10,0))*D128,0)</f>
        <v/>
      </c>
      <c r="L128">
        <f>J128-K128-I128</f>
        <v/>
      </c>
    </row>
    <row r="129">
      <c r="A129">
        <f>TEXT(EDATE(TODAY(),-3),"MMM")</f>
        <v/>
      </c>
      <c r="B129" s="71">
        <f>SUMIFS($J$22:$J$132,$B$22:$B$132,"&gt;="&amp;EOMONTH(TODAY(),-3-1)+1,$B$22:$B$132,"&lt;="&amp;EOMONTH(TODAY(),-3))</f>
        <v/>
      </c>
      <c r="C129" s="71">
        <f>SUMIFS($L$22:$L$132,$B$22:$B$132,"&gt;="&amp;EOMONTH(TODAY(),-3-1)+1,$B$22:$B$132,"&lt;="&amp;EOMONTH(TODAY(),-3))</f>
        <v/>
      </c>
      <c r="D129" t="n">
        <v>2</v>
      </c>
      <c r="E129">
        <f>IFERROR(INDEX($D$3:$D$10,MATCH(C129,$B$3:$B$10,0)),0)</f>
        <v/>
      </c>
      <c r="F129" t="inlineStr">
        <is>
          <t>Mayorista</t>
        </is>
      </c>
      <c r="G129">
        <f>IFERROR(INDEX($F$3:$F$10,MATCH(C129,$B$3:$B$10,0)),0)</f>
        <v/>
      </c>
      <c r="H129" t="n">
        <v>0</v>
      </c>
      <c r="I129" t="n">
        <v>0</v>
      </c>
      <c r="J129">
        <f>(D129*E129)-H129</f>
        <v/>
      </c>
      <c r="K129">
        <f>IFERROR(INDEX($K$3:$K$10,MATCH(C129,$B$3:$B$10,0))*D129,0)</f>
        <v/>
      </c>
      <c r="L129">
        <f>J129-K129-I129</f>
        <v/>
      </c>
    </row>
    <row r="130">
      <c r="A130">
        <f>TEXT(EDATE(TODAY(),-2),"MMM")</f>
        <v/>
      </c>
      <c r="B130" s="71">
        <f>SUMIFS($J$22:$J$132,$B$22:$B$132,"&gt;="&amp;EOMONTH(TODAY(),-2-1)+1,$B$22:$B$132,"&lt;="&amp;EOMONTH(TODAY(),-2))</f>
        <v/>
      </c>
      <c r="C130" s="71">
        <f>SUMIFS($L$22:$L$132,$B$22:$B$132,"&gt;="&amp;EOMONTH(TODAY(),-2-1)+1,$B$22:$B$132,"&lt;="&amp;EOMONTH(TODAY(),-2))</f>
        <v/>
      </c>
      <c r="D130" t="n">
        <v>1</v>
      </c>
      <c r="E130">
        <f>IFERROR(INDEX($D$3:$D$10,MATCH(C130,$B$3:$B$10,0)),0)</f>
        <v/>
      </c>
      <c r="F130" t="inlineStr">
        <is>
          <t>Online</t>
        </is>
      </c>
      <c r="G130">
        <f>IFERROR(INDEX($F$3:$F$10,MATCH(C130,$B$3:$B$10,0)),0)</f>
        <v/>
      </c>
      <c r="H130" t="n">
        <v>0</v>
      </c>
      <c r="I130" t="n">
        <v>0</v>
      </c>
      <c r="J130">
        <f>(D130*E130)-H130</f>
        <v/>
      </c>
      <c r="K130">
        <f>IFERROR(INDEX($K$3:$K$10,MATCH(C130,$B$3:$B$10,0))*D130,0)</f>
        <v/>
      </c>
      <c r="L130">
        <f>J130-K130-I130</f>
        <v/>
      </c>
    </row>
    <row r="131">
      <c r="A131">
        <f>TEXT(EDATE(TODAY(),-1),"MMM")</f>
        <v/>
      </c>
      <c r="B131" s="71">
        <f>SUMIFS($J$22:$J$132,$B$22:$B$132,"&gt;="&amp;EOMONTH(TODAY(),-1-1)+1,$B$22:$B$132,"&lt;="&amp;EOMONTH(TODAY(),-1))</f>
        <v/>
      </c>
      <c r="C131" s="71">
        <f>SUMIFS($L$22:$L$132,$B$22:$B$132,"&gt;="&amp;EOMONTH(TODAY(),-1-1)+1,$B$22:$B$132,"&lt;="&amp;EOMONTH(TODAY(),-1))</f>
        <v/>
      </c>
      <c r="D131" t="n">
        <v>2</v>
      </c>
      <c r="E131">
        <f>IFERROR(INDEX($D$3:$D$10,MATCH(C131,$B$3:$B$10,0)),0)</f>
        <v/>
      </c>
      <c r="F131" t="inlineStr">
        <is>
          <t>Local</t>
        </is>
      </c>
      <c r="G131">
        <f>IFERROR(INDEX($F$3:$F$10,MATCH(C131,$B$3:$B$10,0)),0)</f>
        <v/>
      </c>
      <c r="H131" t="n">
        <v>0</v>
      </c>
      <c r="I131" t="n">
        <v>0</v>
      </c>
      <c r="J131">
        <f>(D131*E131)-H131</f>
        <v/>
      </c>
      <c r="K131">
        <f>IFERROR(INDEX($K$3:$K$10,MATCH(C131,$B$3:$B$10,0))*D131,0)</f>
        <v/>
      </c>
      <c r="L131">
        <f>J131-K131-I131</f>
        <v/>
      </c>
    </row>
    <row r="132">
      <c r="A132">
        <f>TEXT(EDATE(TODAY(),-0),"MMM")</f>
        <v/>
      </c>
      <c r="B132" s="71">
        <f>SUMIFS($J$22:$J$132,$B$22:$B$132,"&gt;="&amp;EOMONTH(TODAY(),-0-1)+1,$B$22:$B$132,"&lt;="&amp;EOMONTH(TODAY(),-0))</f>
        <v/>
      </c>
      <c r="C132" s="71">
        <f>SUMIFS($L$22:$L$132,$B$22:$B$132,"&gt;="&amp;EOMONTH(TODAY(),-0-1)+1,$B$22:$B$132,"&lt;="&amp;EOMONTH(TODAY(),-0))</f>
        <v/>
      </c>
      <c r="D132" t="n">
        <v>1</v>
      </c>
      <c r="E132">
        <f>IFERROR(INDEX($D$3:$D$10,MATCH(C132,$B$3:$B$10,0)),0)</f>
        <v/>
      </c>
      <c r="F132" t="inlineStr">
        <is>
          <t>Online</t>
        </is>
      </c>
      <c r="G132">
        <f>IFERROR(INDEX($F$3:$F$10,MATCH(C132,$B$3:$B$10,0)),0)</f>
        <v/>
      </c>
      <c r="H132" t="n">
        <v>200</v>
      </c>
      <c r="I132" t="n">
        <v>0</v>
      </c>
      <c r="J132">
        <f>(D132*E132)-H132</f>
        <v/>
      </c>
      <c r="K132">
        <f>IFERROR(INDEX($K$3:$K$10,MATCH(C132,$B$3:$B$10,0))*D132,0)</f>
        <v/>
      </c>
      <c r="L132">
        <f>J132-K132-I132</f>
        <v/>
      </c>
    </row>
    <row r="300">
      <c r="A300" s="73" t="inlineStr">
        <is>
          <t>Demo · KPIs (todo el historial de 90 días)</t>
        </is>
      </c>
    </row>
    <row r="301">
      <c r="A301" t="inlineStr">
        <is>
          <t>Ventas del período</t>
        </is>
      </c>
      <c r="B301" s="71">
        <f>SUM($J$22:$J$132)</f>
        <v/>
      </c>
    </row>
    <row r="302">
      <c r="A302" t="inlineStr">
        <is>
          <t>Costos de venta del período</t>
        </is>
      </c>
      <c r="B302" s="71">
        <f>SUM($K$22:$K$132)</f>
        <v/>
      </c>
    </row>
    <row r="303">
      <c r="A303" t="inlineStr">
        <is>
          <t>Ganancia de productos</t>
        </is>
      </c>
      <c r="B303" s="71">
        <f>B301-B302</f>
        <v/>
      </c>
    </row>
    <row r="304">
      <c r="A304" t="inlineStr">
        <is>
          <t>Gastos del período</t>
        </is>
      </c>
      <c r="B304" s="71">
        <f>SUM($T$4:$T$14)</f>
        <v/>
      </c>
    </row>
    <row r="305">
      <c r="A305" t="inlineStr">
        <is>
          <t>Ganancia real</t>
        </is>
      </c>
      <c r="B305" s="71">
        <f>B303-B304</f>
        <v/>
      </c>
    </row>
    <row r="306">
      <c r="A306" t="inlineStr">
        <is>
          <t>Margen real</t>
        </is>
      </c>
      <c r="B306" s="76">
        <f>IF(B301=0,0,B305/B301)</f>
        <v/>
      </c>
    </row>
    <row r="307">
      <c r="A307" t="inlineStr">
        <is>
          <t>Cantidad de ventas</t>
        </is>
      </c>
      <c r="B307" s="75">
        <f>COUNTA($B$22:$B$132)</f>
        <v/>
      </c>
    </row>
    <row r="308">
      <c r="A308" t="inlineStr">
        <is>
          <t>Ticket promedio</t>
        </is>
      </c>
      <c r="B308" s="71">
        <f>IF(B307=0,0,B301/B307)</f>
        <v/>
      </c>
    </row>
    <row r="309">
      <c r="A309" t="inlineStr">
        <is>
          <t>Objetivo de ganancia</t>
        </is>
      </c>
      <c r="B309" s="71">
        <f>X4</f>
        <v/>
      </c>
    </row>
    <row r="310">
      <c r="A310" t="inlineStr">
        <is>
          <t>Progreso %</t>
        </is>
      </c>
      <c r="B310" s="76">
        <f>IF(B309&lt;=0,0,MIN(B305/B309,1))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0" t="inlineStr">
        <is>
          <t>Nombre</t>
        </is>
      </c>
      <c r="B1" s="70" t="inlineStr">
        <is>
          <t>Texto</t>
        </is>
      </c>
    </row>
    <row r="2">
      <c r="A2" t="inlineStr">
        <is>
          <t>Txt_SinDatos</t>
        </is>
      </c>
      <c r="B2" t="inlineStr">
        <is>
          <t>No hay suficientes datos para calcular este indicador.</t>
        </is>
      </c>
    </row>
    <row r="3">
      <c r="A3" t="inlineStr">
        <is>
          <t>Txt_SinVentas</t>
        </is>
      </c>
      <c r="B3" t="inlineStr">
        <is>
          <t>Todavía no cargaste ventas en este período.</t>
        </is>
      </c>
    </row>
    <row r="4">
      <c r="A4" t="inlineStr">
        <is>
          <t>Txt_SinProductos</t>
        </is>
      </c>
      <c r="B4" t="inlineStr">
        <is>
          <t>Agregá tu primer producto para empezar.</t>
        </is>
      </c>
    </row>
    <row r="5">
      <c r="A5" t="inlineStr">
        <is>
          <t>Txt_ProductoNoEncontrado</t>
        </is>
      </c>
      <c r="B5" t="inlineStr">
        <is>
          <t>Este producto ya no está en tu catálogo.</t>
        </is>
      </c>
    </row>
    <row r="6">
      <c r="A6" t="inlineStr">
        <is>
          <t>Txt_ObjetivoInvalido</t>
        </is>
      </c>
      <c r="B6" t="inlineStr">
        <is>
          <t>Definí un objetivo mayor a tu ganancia actual.</t>
        </is>
      </c>
    </row>
    <row r="7">
      <c r="A7" t="inlineStr">
        <is>
          <t>Txt_ObjetivoAlcanzado</t>
        </is>
      </c>
      <c r="B7" t="inlineStr">
        <is>
          <t>¡Ya alcanzaste tu objetivo! 🎉</t>
        </is>
      </c>
    </row>
    <row r="8">
      <c r="A8" t="inlineStr">
        <is>
          <t>Txt_FaltaHistorial</t>
        </is>
      </c>
      <c r="B8" t="inlineStr">
        <is>
          <t>Necesitás más historial de ventas para calcular esto con precisión.</t>
        </is>
      </c>
    </row>
    <row r="9">
      <c r="A9" t="inlineStr">
        <is>
          <t>Txt_NombreDuplicado</t>
        </is>
      </c>
      <c r="B9" t="inlineStr">
        <is>
          <t>Ya existe un producto con este nombre. Elegí un nombre distinto para diferenciarlo.</t>
        </is>
      </c>
    </row>
    <row r="10">
      <c r="A10" t="inlineStr">
        <is>
          <t>Txt_SinAlertas</t>
        </is>
      </c>
      <c r="B10" t="inlineStr">
        <is>
          <t>Ninguno de tus productos tiene el margen bajo. ¡Buen trabajo!</t>
        </is>
      </c>
    </row>
    <row r="11">
      <c r="A11" t="inlineStr">
        <is>
          <t>Txt_UltimoDia</t>
        </is>
      </c>
      <c r="B11" t="inlineStr">
        <is>
          <t>Hoy es el último día del período — no queda tiempo para repartir lo que falta.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2026-09-11T20:48:56Z</dcterms:created>
  <dcterms:modified xsi:type="dcterms:W3CDTF">2026-09-11T20:48:56Z</dcterms:modified>
</cp:coreProperties>
</file>